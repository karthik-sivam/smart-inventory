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Cases" sheetId="2" state="visible" r:id="rId4"/>
    <sheet name="Regression Smoke" sheetId="3" state="visible" r:id="rId5"/>
    <sheet name="Release Gate" sheetId="4" state="visible" r:id="rId6"/>
  </sheets>
  <definedNames>
    <definedName function="false" hidden="true" localSheetId="1" name="_xlnm._FilterDatabase" vbProcedure="false">'Test Cases'!$A$1:$J$75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<sst xmlns="http://schemas.openxmlformats.org/spreadsheetml/2006/main" count="768" uniqueCount="504">
  <si>
    <t xml:space="preserve">Stoqly — master_scope_v1 Manual QA Checklist</t>
  </si>
  <si>
    <t xml:space="preserve">Prepared 2026-08-24 · covers Wave 1 (A1–A5) + Wave 1.5 (F1, F3, F4, F8) · maestro run_all DEFERRED — this checklist IS the merge gate.</t>
  </si>
  <si>
    <t xml:space="preserve">Test environment</t>
  </si>
  <si>
    <t xml:space="preserve">Item</t>
  </si>
  <si>
    <t xml:space="preserve">Value</t>
  </si>
  <si>
    <t xml:space="preserve">Bundle</t>
  </si>
  <si>
    <t xml:space="preserve">com.vishuddhi.stoqly (never com.vishuddhi.smartinventory)</t>
  </si>
  <si>
    <t xml:space="preserve">App name</t>
  </si>
  <si>
    <t xml:space="preserve">Assertions expect "Stoqly"</t>
  </si>
  <si>
    <t xml:space="preserve">Test account</t>
  </si>
  <si>
    <t xml:space="preserve">test@smartinventory.dev / Test@1234</t>
  </si>
  <si>
    <t xml:space="preserve">iOS simulator</t>
  </si>
  <si>
    <t xml:space="preserve">iPhone 17 Pro, iOS 17.6+ (some tests need iOS 16 too — noted per case)</t>
  </si>
  <si>
    <t xml:space="preserve">Sandbox tester (StoreKit)</t>
  </si>
  <si>
    <t xml:space="preserve">Use your existing Apple Sandbox account for F1 trial tests</t>
  </si>
  <si>
    <t xml:space="preserve">Network</t>
  </si>
  <si>
    <t xml:space="preserve">Test both online and offline; airplane mode toggle noted per case</t>
  </si>
  <si>
    <t xml:space="preserve">Appearance</t>
  </si>
  <si>
    <t xml:space="preserve">Test cases mark Light / Dark / both per test</t>
  </si>
  <si>
    <t xml:space="preserve">Analytics verification</t>
  </si>
  <si>
    <t xml:space="preserve">Amplitude project 832993 — filter by your test user_id</t>
  </si>
  <si>
    <t xml:space="preserve">Build source</t>
  </si>
  <si>
    <t xml:space="preserve">Local Xcode build off each feature branch — do NOT wait for consolidation to test</t>
  </si>
  <si>
    <t xml:space="preserve">Coverage summary</t>
  </si>
  <si>
    <t xml:space="preserve">Story</t>
  </si>
  <si>
    <t xml:space="preserve">Title</t>
  </si>
  <si>
    <t xml:space="preserve">Cases</t>
  </si>
  <si>
    <t xml:space="preserve">Priority</t>
  </si>
  <si>
    <t xml:space="preserve">Est. minutes</t>
  </si>
  <si>
    <t xml:space="preserve">Blocks merge?</t>
  </si>
  <si>
    <t xml:space="preserve">A1</t>
  </si>
  <si>
    <t xml:space="preserve">SubscriptionManager.isPro revert (already partly QA'd)</t>
  </si>
  <si>
    <t xml:space="preserve">P0</t>
  </si>
  <si>
    <t xml:space="preserve">Yes</t>
  </si>
  <si>
    <t xml:space="preserve">A2</t>
  </si>
  <si>
    <t xml:space="preserve">BarcodeEnrichmentService debug prints removed</t>
  </si>
  <si>
    <t xml:space="preserve">P1</t>
  </si>
  <si>
    <t xml:space="preserve">A3</t>
  </si>
  <si>
    <t xml:space="preserve">Splash + Auth dark-mode fix</t>
  </si>
  <si>
    <t xml:space="preserve">A4/A4b</t>
  </si>
  <si>
    <t xml:space="preserve">AddItem/EditItem progressive disclosure + polish</t>
  </si>
  <si>
    <t xml:space="preserve">A5-pre</t>
  </si>
  <si>
    <t xml:space="preserve">SmartSales AI response includes confidence</t>
  </si>
  <si>
    <t xml:space="preserve">A5</t>
  </si>
  <si>
    <t xml:space="preserve">SmartCount + SmartSales review UX repair</t>
  </si>
  <si>
    <t xml:space="preserve">F1</t>
  </si>
  <si>
    <t xml:space="preserve">Real 7-day free trial (Firestore + StoreKit + Amplitude)</t>
  </si>
  <si>
    <t xml:space="preserve">F3</t>
  </si>
  <si>
    <t xml:space="preserve">ItemPhoto paywall via .fullScreenCover</t>
  </si>
  <si>
    <t xml:space="preserve">F4</t>
  </si>
  <si>
    <t xml:space="preserve">AdMob Amplitude instrumentation</t>
  </si>
  <si>
    <t xml:space="preserve">F8</t>
  </si>
  <si>
    <t xml:space="preserve">SmartCount/SmartSales entry chips on manual screens</t>
  </si>
  <si>
    <t xml:space="preserve">SMK</t>
  </si>
  <si>
    <t xml:space="preserve">Regression smoke (post-consolidation)</t>
  </si>
  <si>
    <t xml:space="preserve">Gate</t>
  </si>
  <si>
    <t xml:space="preserve">GATE</t>
  </si>
  <si>
    <t xml:space="preserve">Release-gate sign-off items</t>
  </si>
  <si>
    <t xml:space="preserve">Ship</t>
  </si>
  <si>
    <t xml:space="preserve">TOTAL</t>
  </si>
  <si>
    <t xml:space="preserve">Priority &amp; fill legend</t>
  </si>
  <si>
    <t xml:space="preserve">Ship-blocking. Must pass. Row tinted salmon.</t>
  </si>
  <si>
    <t xml:space="preserve">High. Ship without only with a filed known-issue.</t>
  </si>
  <si>
    <t xml:space="preserve">P2</t>
  </si>
  <si>
    <t xml:space="preserve">Nice-to-verify. Non-blocking. Row tinted green.</t>
  </si>
  <si>
    <t xml:space="preserve">Yellow cell</t>
  </si>
  <si>
    <t xml:space="preserve">Input you fill in (Pass/Fail, Actual result, Notes).</t>
  </si>
  <si>
    <t xml:space="preserve">Blue header</t>
  </si>
  <si>
    <t xml:space="preserve">Frozen header.</t>
  </si>
  <si>
    <t xml:space="preserve">How to use this workbook</t>
  </si>
  <si>
    <t xml:space="preserve">1. Work story-by-story on the 'Test Cases' tab. Filter by Story column to see one branch at a time.</t>
  </si>
  <si>
    <t xml:space="preserve">2. For each case: read Preconditions and Steps, execute in the simulator/device, mark Pass/Fail in the yellow cell.</t>
  </si>
  <si>
    <t xml:space="preserve">3. If a case fails: fill Actual Result with what you saw, then file a bug (Cursor spec or GitHub issue) and put the ref in the same column.</t>
  </si>
  <si>
    <t xml:space="preserve">4. All P0 cases must be Pass before merging that story into master_scope_v1.</t>
  </si>
  <si>
    <t xml:space="preserve">5. After consolidation into master_scope_v1, run the 'Regression Smoke' tab (10 cases) end-to-end on the consolidated build.</t>
  </si>
  <si>
    <t xml:space="preserve">6. Before submitting to App Store, complete the 'Release Gate' tab (trust-debt, retention gates, DoD).</t>
  </si>
  <si>
    <t xml:space="preserve">7. Save this workbook as your session's audit trail — attach the final version to the master_scope_v1 PR description.</t>
  </si>
  <si>
    <t xml:space="preserve">ID</t>
  </si>
  <si>
    <t xml:space="preserve">Area</t>
  </si>
  <si>
    <t xml:space="preserve">Preconditions</t>
  </si>
  <si>
    <t xml:space="preserve">Steps</t>
  </si>
  <si>
    <t xml:space="preserve">Expected Result</t>
  </si>
  <si>
    <t xml:space="preserve">Pass/Fail</t>
  </si>
  <si>
    <t xml:space="preserve">Actual Result / Bug Ref</t>
  </si>
  <si>
    <t xml:space="preserve">Notes</t>
  </si>
  <si>
    <t xml:space="preserve">A1.1</t>
  </si>
  <si>
    <t xml:space="preserve">Paywall</t>
  </si>
  <si>
    <t xml:space="preserve">Fresh install, no purchase, no manualProUntil, iOS 17.6</t>
  </si>
  <si>
    <t xml:space="preserve">1) Delete app.
2) Reinstall from Xcode Debug build off origin/iOS-A1.
3) Sign in test account.
4) Open Dashboard.</t>
  </si>
  <si>
    <t xml:space="preserve">Dashboard shows the 'Go Pro' banner. isPro reads false.</t>
  </si>
  <si>
    <t xml:space="preserve">A1.2</t>
  </si>
  <si>
    <t xml:space="preserve">Free user, on Settings</t>
  </si>
  <si>
    <t xml:space="preserve">1) Open Settings.
2) Scroll to Item Templates and Bulk Import rows.
3) Tap each.</t>
  </si>
  <si>
    <t xml:space="preserve">Both rows show a lock indicator. Tap presents PaywallView(source=item_templates|bulk_import).</t>
  </si>
  <si>
    <t xml:space="preserve">A1.3</t>
  </si>
  <si>
    <t xml:space="preserve">Photo</t>
  </si>
  <si>
    <t xml:space="preserve">Free user, on Add Item</t>
  </si>
  <si>
    <t xml:space="preserve">1) Storage → Add Item.
2) Tap the Photo row.</t>
  </si>
  <si>
    <t xml:space="preserve">Inline Pro hint expands beneath the row (no modal). See F3 for the paywall push.</t>
  </si>
  <si>
    <t xml:space="preserve">A1.4</t>
  </si>
  <si>
    <t xml:space="preserve">SmartCount</t>
  </si>
  <si>
    <t xml:space="preserve">Free user, no prior counts this month</t>
  </si>
  <si>
    <t xml:space="preserve">1) Open Count tab → tap SmartCount for a storage.
2) Try each of Voice, Photo, Sheet modes.</t>
  </si>
  <si>
    <t xml:space="preserve">All three modes gated by Pro paywall on 4th use per month. 1st–3rd allowed.</t>
  </si>
  <si>
    <t xml:space="preserve">A1.5</t>
  </si>
  <si>
    <t xml:space="preserve">SmartSales</t>
  </si>
  <si>
    <t xml:space="preserve">Free user</t>
  </si>
  <si>
    <t xml:space="preserve">1) Open SmartSales.
2) Run 5 sales sessions across modes.</t>
  </si>
  <si>
    <t xml:space="preserve">NO monthly cap. All 5 complete without paywall. Intentional per CEO.</t>
  </si>
  <si>
    <t xml:space="preserve">A1.6</t>
  </si>
  <si>
    <t xml:space="preserve">Storage cap</t>
  </si>
  <si>
    <t xml:space="preserve">1) Add storages until the cap is hit.</t>
  </si>
  <si>
    <t xml:space="preserve">Free storage cap enforced (verify current cap — typically 3). Attempt to add the (cap+1)-th storage triggers PaywallView(source=storage_cap).</t>
  </si>
  <si>
    <t xml:space="preserve">A1.7</t>
  </si>
  <si>
    <t xml:space="preserve">Item cap</t>
  </si>
  <si>
    <t xml:space="preserve">Free user, one storage</t>
  </si>
  <si>
    <t xml:space="preserve">1) Add items in the same storage until 50.
2) Try to add the 51st.</t>
  </si>
  <si>
    <t xml:space="preserve">51st add blocked → PaywallView(source=item_limit|item_cap). Existing 50 remain editable.</t>
  </si>
  <si>
    <t xml:space="preserve">A1.8</t>
  </si>
  <si>
    <t xml:space="preserve">1) Trigger the 'thin Pro trigger' (small paywall entry from a promoted surface — Reports advanced or Help chat cap).</t>
  </si>
  <si>
    <t xml:space="preserve">PaywallView appears. Source param non-empty.</t>
  </si>
  <si>
    <t xml:space="preserve">A1.9</t>
  </si>
  <si>
    <t xml:space="preserve">PaperInventory</t>
  </si>
  <si>
    <t xml:space="preserve">1) Add Item via Paper Inventory sheet.</t>
  </si>
  <si>
    <t xml:space="preserve">SheetItemRow isPro default false — no Pro-only affordances leaked to free.</t>
  </si>
  <si>
    <t xml:space="preserve">A1.10</t>
  </si>
  <si>
    <t xml:space="preserve">Free path</t>
  </si>
  <si>
    <t xml:space="preserve">1) Tap Count on a storage item, record a manual count.</t>
  </si>
  <si>
    <t xml:space="preserve">Manual count saves. NO paywall.</t>
  </si>
  <si>
    <t xml:space="preserve">A1.11</t>
  </si>
  <si>
    <t xml:space="preserve">1) Open SmartSales → choose Manual entry.</t>
  </si>
  <si>
    <t xml:space="preserve">Manual sale saves. NO paywall.</t>
  </si>
  <si>
    <t xml:space="preserve">A1.12</t>
  </si>
  <si>
    <t xml:space="preserve">Purchase entry</t>
  </si>
  <si>
    <t xml:space="preserve">1) Attempt to add a Purchase manually (from Item detail).</t>
  </si>
  <si>
    <t xml:space="preserve">Currently a Pro dead-end. Verify it still hits paywall. (iOS-C1 will fix later.)</t>
  </si>
  <si>
    <t xml:space="preserve">A1.13</t>
  </si>
  <si>
    <t xml:space="preserve">Trial</t>
  </si>
  <si>
    <t xml:space="preserve">Free user (superseded by F1)</t>
  </si>
  <si>
    <t xml:space="preserve">1) Open Paywall.</t>
  </si>
  <si>
    <t xml:space="preserve">On A1-only build: no trial UI. On F1 build: see F1 test cases.</t>
  </si>
  <si>
    <t xml:space="preserve">A1.14</t>
  </si>
  <si>
    <t xml:space="preserve">Ads</t>
  </si>
  <si>
    <t xml:space="preserve">Free user (superseded by F4)</t>
  </si>
  <si>
    <t xml:space="preserve">1) Use app for 30s on Free.</t>
  </si>
  <si>
    <t xml:space="preserve">Banner ad visible somewhere (Dashboard or list). See F4 for telemetry.</t>
  </si>
  <si>
    <t xml:space="preserve">A2.1</t>
  </si>
  <si>
    <t xml:space="preserve">Barcode</t>
  </si>
  <si>
    <t xml:space="preserve">Xcode Debug build off origin/iOS-A2, Console open</t>
  </si>
  <si>
    <t xml:space="preserve">1) Add Item → tap Barcode scan icon.
2) Scan a product barcode.
3) Observe Xcode console during scan and enrichment.</t>
  </si>
  <si>
    <t xml:space="preserve">No lines matching "[Enrichment]" appear. Confirm with Cmd+F in console.</t>
  </si>
  <si>
    <t xml:space="preserve">A2.2</t>
  </si>
  <si>
    <t xml:space="preserve">Same, product barcode known to Open Food Facts (e.g. Coca-Cola 5449000000996)</t>
  </si>
  <si>
    <t xml:space="preserve">1) Scan the barcode.
2) Wait for enrichment.</t>
  </si>
  <si>
    <t xml:space="preserve">Item name auto-populates. barcodeScanResult(found=true, enriched=true) event fires in Amplitude.</t>
  </si>
  <si>
    <t xml:space="preserve">A2.3</t>
  </si>
  <si>
    <t xml:space="preserve">Same, obscure Indian FMCG barcode NOT in OFF</t>
  </si>
  <si>
    <t xml:space="preserve">1) Scan the barcode.
2) Wait.</t>
  </si>
  <si>
    <t xml:space="preserve">Fallback path silently completes. barcodeScanResult(found=false) OR (found=true, enriched=false). No crash. No enrichment print in Debug.</t>
  </si>
  <si>
    <t xml:space="preserve">A3.1</t>
  </si>
  <si>
    <t xml:space="preserve">Splash</t>
  </si>
  <si>
    <t xml:space="preserve">Simulator Appearance = Dark, app fully quit</t>
  </si>
  <si>
    <t xml:space="preserve">1) Simulator → Features → Toggle Appearance to Dark.
2) Kill app.
3) Cold launch.</t>
  </si>
  <si>
    <t xml:space="preserve">SplashScreenView renders with correct contrast: logo visible, background legible, no black-on-black.</t>
  </si>
  <si>
    <t xml:space="preserve">A3.2</t>
  </si>
  <si>
    <t xml:space="preserve">Auth</t>
  </si>
  <si>
    <t xml:space="preserve">Same, dark mode, not signed in</t>
  </si>
  <si>
    <t xml:space="preserve">1) On splash → Auth screen appears.
2) Inspect all fields, labels, primary button, sign-in providers.</t>
  </si>
  <si>
    <t xml:space="preserve">All text meets contrast ratio ≥4.5:1. Text fields have visible borders. Buttons contrast readable.</t>
  </si>
  <si>
    <t xml:space="preserve">A3.3</t>
  </si>
  <si>
    <t xml:space="preserve">Simulator Appearance = Light, app quit</t>
  </si>
  <si>
    <t xml:space="preserve">1) Toggle Appearance to Light.
2) Kill app.
3) Cold launch.</t>
  </si>
  <si>
    <t xml:space="preserve">Splash renders correctly in light mode. No regression from pre-A3 build.</t>
  </si>
  <si>
    <t xml:space="preserve">A3.4</t>
  </si>
  <si>
    <t xml:space="preserve">Same, light mode, not signed in</t>
  </si>
  <si>
    <t xml:space="preserve">1) Auth screen appears.</t>
  </si>
  <si>
    <t xml:space="preserve">All fields/labels/buttons render correctly in light mode. No regression.</t>
  </si>
  <si>
    <t xml:space="preserve">A3.5</t>
  </si>
  <si>
    <t xml:space="preserve">App running, on Splash or Auth</t>
  </si>
  <si>
    <t xml:space="preserve">1) With app in foreground → Simulator → Toggle Appearance.</t>
  </si>
  <si>
    <t xml:space="preserve">View redraws immediately with correct palette (may require nav pop/push depending on how state is scoped — note behavior).</t>
  </si>
  <si>
    <t xml:space="preserve">A4.1</t>
  </si>
  <si>
    <t xml:space="preserve">AddItem</t>
  </si>
  <si>
    <t xml:space="preserve">Free user, sign in, one storage</t>
  </si>
  <si>
    <t xml:space="preserve">1) Open storage → tap Add Item (FAB).</t>
  </si>
  <si>
    <t xml:space="preserve">Add Item sheet opens. Top card shows headerless Section with: Item Name, Quantity, Storage summary. 'More details' toggle visible below with chevron down.</t>
  </si>
  <si>
    <t xml:space="preserve">A4.2</t>
  </si>
  <si>
    <t xml:space="preserve">Same</t>
  </si>
  <si>
    <t xml:space="preserve">1) Enter Name='Test Item'.
2) Enter Quantity='5'.
3) Tap Save.</t>
  </si>
  <si>
    <t xml:space="preserve">Save enabled after both fields filled. Item saved to storage with defaults: UOM='Piece' (or first UOM), Category='Uncategorised', no expiry, no photo.</t>
  </si>
  <si>
    <t xml:space="preserve">A4.3</t>
  </si>
  <si>
    <t xml:space="preserve">A11y</t>
  </si>
  <si>
    <t xml:space="preserve">VoiceOver ON</t>
  </si>
  <si>
    <t xml:space="preserve">1) Focus Save button while Name empty.
2) Listen to hint.</t>
  </si>
  <si>
    <t xml:space="preserve">VoiceOver reads 'Enter an item name and quantity to enable.' Save action is disabled.</t>
  </si>
  <si>
    <t xml:space="preserve">A4.4</t>
  </si>
  <si>
    <t xml:space="preserve">Same, on Add Item</t>
  </si>
  <si>
    <t xml:space="preserve">1) Tap 'More details'.</t>
  </si>
  <si>
    <t xml:space="preserve">Section expands. Chevron flips to up. Reveals: Description, SKU (auto-generated), Barcode+scanner, Category picker, UOM picker, Min Quantity, Max Quantity, Unit Cost, Selling Price, Expiry toggle, Photo section (no sub-header).</t>
  </si>
  <si>
    <t xml:space="preserve">A4.5</t>
  </si>
  <si>
    <t xml:space="preserve">'More details' expanded</t>
  </si>
  <si>
    <t xml:space="preserve">1) Tap Unit Cost → enter '10.00'.
2) Tap Selling Price → enter '15.00'.
3) Dismiss keyboard.</t>
  </si>
  <si>
    <t xml:space="preserve">Each field focuses independently — no shared focus artifact. Keyboard shifts to the tapped field. Both values persist on Save.</t>
  </si>
  <si>
    <t xml:space="preserve">A4.6</t>
  </si>
  <si>
    <t xml:space="preserve">Analytics</t>
  </si>
  <si>
    <t xml:space="preserve">Amplitude filtered to your user_id</t>
  </si>
  <si>
    <t xml:space="preserve">1) Tap 'More details' to expand.
2) Tap again to collapse.</t>
  </si>
  <si>
    <t xml:space="preserve">Two 'add_item_more_details_toggled' events fire: first with expanded=true, then expanded=false. context=add_item on both.</t>
  </si>
  <si>
    <t xml:space="preserve">A4.7</t>
  </si>
  <si>
    <t xml:space="preserve">EditItem</t>
  </si>
  <si>
    <t xml:space="preserve">Existing item that has a Description</t>
  </si>
  <si>
    <t xml:space="preserve">1) Long-press item → Edit.</t>
  </si>
  <si>
    <t xml:space="preserve">Edit sheet opens with 'More details' ALREADY expanded (hasOptionalDetails auto-expand). NO analytics event fires from auto-expand.</t>
  </si>
  <si>
    <t xml:space="preserve">A4.8</t>
  </si>
  <si>
    <t xml:space="preserve">Existing item with only Name+Qty (no optionals)</t>
  </si>
  <si>
    <t xml:space="preserve">1) Edit that item.</t>
  </si>
  <si>
    <t xml:space="preserve">Edit sheet opens with 'More details' COLLAPSED (auto-expand did not trigger — heuristic correct).</t>
  </si>
  <si>
    <t xml:space="preserve">A4.9</t>
  </si>
  <si>
    <t xml:space="preserve">Templates</t>
  </si>
  <si>
    <t xml:space="preserve">Pro user with ≥1 saved item template</t>
  </si>
  <si>
    <t xml:space="preserve">1) Open Add Item.</t>
  </si>
  <si>
    <t xml:space="preserve">'Use Template' chip visible ABOVE the 'More details' toggle, on its own row. Tapping opens the template picker.</t>
  </si>
  <si>
    <t xml:space="preserve">A4.10</t>
  </si>
  <si>
    <t xml:space="preserve">Free user OR Pro user with 0 templates</t>
  </si>
  <si>
    <t xml:space="preserve">'Use Template' chip ABSENT. No duplicate inside 'More details'.</t>
  </si>
  <si>
    <t xml:space="preserve">A4.11</t>
  </si>
  <si>
    <t xml:space="preserve">Pro user, attach a photo in Add Item, then collapse More details</t>
  </si>
  <si>
    <t xml:space="preserve">1) Expand More details.
2) Tap Photo → pick a photo.
3) Collapse More details.</t>
  </si>
  <si>
    <t xml:space="preserve">Photo summary chip appears next to 'More details' text (e.g. '1 photo').</t>
  </si>
  <si>
    <t xml:space="preserve">A4.12</t>
  </si>
  <si>
    <t xml:space="preserve">Storage-scoped</t>
  </si>
  <si>
    <t xml:space="preserve">In a specific storage detail view</t>
  </si>
  <si>
    <t xml:space="preserve">1) From storage → Add Item.
2) Save with only Name+Qty.</t>
  </si>
  <si>
    <t xml:space="preserve">Item created IN THAT storage (Storage row in Primary reflects it, not a picker). saveNew fires safeSave with context 'AddItem'.</t>
  </si>
  <si>
    <t xml:space="preserve">A5-pre.1</t>
  </si>
  <si>
    <t xml:space="preserve">Free user (uses free quota) or Pro</t>
  </si>
  <si>
    <t xml:space="preserve">1) SmartSales → Voice.
2) Speak a sale of 2 items.
3) Reach review screen.</t>
  </si>
  <si>
    <t xml:space="preserve">Each line shows a confidence indicator (high/med/low or numeric). Confidence read from AI response, not hardcoded.</t>
  </si>
  <si>
    <t xml:space="preserve">A5-pre.2</t>
  </si>
  <si>
    <t xml:space="preserve">1) SmartSales → Photo → snap receipt or bill.</t>
  </si>
  <si>
    <t xml:space="preserve">Review screen shows confidence per line.</t>
  </si>
  <si>
    <t xml:space="preserve">A5-pre.3</t>
  </si>
  <si>
    <t xml:space="preserve">1) SmartSales → Sheet → upload/pick a small CSV.</t>
  </si>
  <si>
    <t xml:space="preserve">A5-pre.4</t>
  </si>
  <si>
    <t xml:space="preserve">Regression</t>
  </si>
  <si>
    <t xml:space="preserve">1) Complete a sale via any mode.</t>
  </si>
  <si>
    <t xml:space="preserve">smartSalesCompleted event fires with the correct mode. Sale is written. No regression in numbers/flow from prior build.</t>
  </si>
  <si>
    <t xml:space="preserve">A5.1</t>
  </si>
  <si>
    <t xml:space="preserve">Free or Pro, quota available</t>
  </si>
  <si>
    <t xml:space="preserve">1) SmartCount → Voice.
2) Speak items.
3) Reach review.</t>
  </si>
  <si>
    <t xml:space="preserve">Review screen: each row editable (qty/name), clear delete, clear discard-all. Toolbar has Save and Cancel.</t>
  </si>
  <si>
    <t xml:space="preserve">A5.2</t>
  </si>
  <si>
    <t xml:space="preserve">1) SmartCount → Photo.
2) Photograph items.</t>
  </si>
  <si>
    <t xml:space="preserve">Same review UX. Confidence visible per line (from prior A5-pre for Sales; for Count parity — verify).</t>
  </si>
  <si>
    <t xml:space="preserve">A5.3</t>
  </si>
  <si>
    <t xml:space="preserve">1) SmartCount → Sheet.</t>
  </si>
  <si>
    <t xml:space="preserve">Same review UX.</t>
  </si>
  <si>
    <t xml:space="preserve">A5.4</t>
  </si>
  <si>
    <t xml:space="preserve">1) SmartSales → any mode → review.</t>
  </si>
  <si>
    <t xml:space="preserve">Review UX matches SmartCount patterns; confidence visible; edit/discard work.</t>
  </si>
  <si>
    <t xml:space="preserve">A5.5</t>
  </si>
  <si>
    <t xml:space="preserve">Mid-review</t>
  </si>
  <si>
    <t xml:space="preserve">1) Tap Cancel/Discard on review.</t>
  </si>
  <si>
    <t xml:space="preserve">Sheet dismisses without inserting rows. No partial writes. No orphan ActivityEvent.</t>
  </si>
  <si>
    <t xml:space="preserve">A5.6</t>
  </si>
  <si>
    <t xml:space="preserve">Amplitude filtered</t>
  </si>
  <si>
    <t xml:space="preserve">1) Complete SmartCount via each mode.</t>
  </si>
  <si>
    <t xml:space="preserve">smartCountCompleted(mode, itemCount, capturedExtraFields) fires with correct mode. capturedExtraFields present when applicable.</t>
  </si>
  <si>
    <t xml:space="preserve">F1.1</t>
  </si>
  <si>
    <t xml:space="preserve">Fresh sandbox account (never trialled Stoqly), on origin/iOS-F1 build</t>
  </si>
  <si>
    <t xml:space="preserve">1) Sign in Apple sandbox tester in Settings → App Store.
2) Cold launch app.
3) Trigger paywall (add 51st item, or SmartCount 4th run, or upgrade tap).</t>
  </si>
  <si>
    <t xml:space="preserve">Paywall shows trial banner: '7-day free trial' (in your app language). Banner appears above plan buttons.</t>
  </si>
  <si>
    <t xml:space="preserve">F1.2</t>
  </si>
  <si>
    <t xml:space="preserve">1) Read the subtitles under Monthly and Annual plans.</t>
  </si>
  <si>
    <t xml:space="preserve">Reads 'Then ₹499/month' and 'Then ₹3,999/year' (StoreKit-localized — confirm no hardcoded strings, no '$2.99').</t>
  </si>
  <si>
    <t xml:space="preserve">F1.3</t>
  </si>
  <si>
    <t xml:space="preserve">Legal</t>
  </si>
  <si>
    <t xml:space="preserve">1) Scroll paywall to the fine print.</t>
  </si>
  <si>
    <t xml:space="preserve">Auto-renew legal line present (Apple-required). Includes trial-to-paid conversion notice.</t>
  </si>
  <si>
    <t xml:space="preserve">F1.4</t>
  </si>
  <si>
    <t xml:space="preserve">Trial start</t>
  </si>
  <si>
    <t xml:space="preserve">1) Tap Monthly plan → complete Sandbox purchase flow (free — no charge).</t>
  </si>
  <si>
    <t xml:space="preserve">isPro flips true. Paywall dismisses. Firestore write: manualProUntil = trial end (7 days from now). Analytics: trial_started(plan='monthly') fires ONCE.</t>
  </si>
  <si>
    <t xml:space="preserve">F1.5</t>
  </si>
  <si>
    <t xml:space="preserve">Idempotency</t>
  </si>
  <si>
    <t xml:space="preserve">Trial active from F1.4</t>
  </si>
  <si>
    <t xml:space="preserve">1) Background app → wait 60s → foreground.
2) Kill app → cold launch.</t>
  </si>
  <si>
    <t xml:space="preserve">trial_started does NOT re-fire. Edge trigger works across foreground and launch. isPro remains true.</t>
  </si>
  <si>
    <t xml:space="preserve">F1.6</t>
  </si>
  <si>
    <t xml:space="preserve">Firestore</t>
  </si>
  <si>
    <t xml:space="preserve">Trial active</t>
  </si>
  <si>
    <t xml:space="preserve">1) Firebase console → users/{yourUid} document.</t>
  </si>
  <si>
    <t xml:space="preserve">manualProUntil field exists, value ≈ now+7 days.</t>
  </si>
  <si>
    <t xml:space="preserve">F1.7</t>
  </si>
  <si>
    <t xml:space="preserve">Cancel</t>
  </si>
  <si>
    <t xml:space="preserve">1) iOS Settings → Apple ID → Subscriptions → Stoqly → Cancel Subscription.
2) Return to app → foreground.</t>
  </si>
  <si>
    <t xml:space="preserve">StoreKit reports cancelled. trial_cancelled fires once. isPro STAYS true until trial end date (Apple behavior).</t>
  </si>
  <si>
    <t xml:space="preserve">F1.8</t>
  </si>
  <si>
    <t xml:space="preserve">Expiry</t>
  </si>
  <si>
    <t xml:space="preserve">Trial cancelled but not yet expired</t>
  </si>
  <si>
    <t xml:space="preserve">1) Wait for trial end (or advance sandbox clock in Xcode: Debug → Simulate Environment → Time).
2) Foreground app.</t>
  </si>
  <si>
    <t xml:space="preserve">isPro flips false. trial_expired fires once. Paywall re-appears on gated surfaces.</t>
  </si>
  <si>
    <t xml:space="preserve">F1.9</t>
  </si>
  <si>
    <t xml:space="preserve">Conversion</t>
  </si>
  <si>
    <t xml:space="preserve">Trial active (fresh restart), don't cancel</t>
  </si>
  <si>
    <t xml:space="preserve">1) Wait for trial end WITHOUT cancelling (or advance clock).</t>
  </si>
  <si>
    <t xml:space="preserve">StoreKit auto-converts to paid. trial_converted fires. subscription_started(plan='monthly') fires. isPro remains true.</t>
  </si>
  <si>
    <t xml:space="preserve">F1.10</t>
  </si>
  <si>
    <t xml:space="preserve">Ineligibility</t>
  </si>
  <si>
    <t xml:space="preserve">Sandbox tester that ALREADY consumed the trial once</t>
  </si>
  <si>
    <t xml:space="preserve">1) Sign in that tester.
2) Open paywall.</t>
  </si>
  <si>
    <t xml:space="preserve">Trial banner ABSENT. Plan buttons show standard price without 'Then …' subtitle (or with a plain price label). No trial CTA path shown.</t>
  </si>
  <si>
    <t xml:space="preserve">F1.11</t>
  </si>
  <si>
    <t xml:space="preserve">1) Same as F1.10, checking Annual plan.</t>
  </si>
  <si>
    <t xml:space="preserve">Trial banner absent on annual too. Price ₹3,999/year shown plainly.</t>
  </si>
  <si>
    <t xml:space="preserve">F1.12</t>
  </si>
  <si>
    <t xml:space="preserve">Product IDs</t>
  </si>
  <si>
    <t xml:space="preserve">Any account</t>
  </si>
  <si>
    <t xml:space="preserve">1) Trigger paywall.
2) Watch Xcode console for SubscriptionManager product-fetch logs.</t>
  </si>
  <si>
    <t xml:space="preserve">Products array returns non-empty for com.vishuddhi.stoqly.monthly AND com.vishuddhi.stoqly.annual. NO 'com.vishuddhi.smartinventory.*' references.</t>
  </si>
  <si>
    <t xml:space="preserve">F1.13</t>
  </si>
  <si>
    <t xml:space="preserve">AI</t>
  </si>
  <si>
    <t xml:space="preserve">Any user, chat available</t>
  </si>
  <si>
    <t xml:space="preserve">1) Open Help chat.
2) Ask 'Is there a free trial?'.</t>
  </si>
  <si>
    <t xml:space="preserve">AI acknowledges the 7-day trial. Does NOT quote a specific price. Response references upgrading in-app.</t>
  </si>
  <si>
    <t xml:space="preserve">F1.14</t>
  </si>
  <si>
    <t xml:space="preserve">i18n</t>
  </si>
  <si>
    <t xml:space="preserve">App language set to Tamil</t>
  </si>
  <si>
    <t xml:space="preserve">1) Settings → Language → Tamil.
2) Open Paywall.</t>
  </si>
  <si>
    <t xml:space="preserve">4 new trial keys render in Tamil (may be machine-drafted and marked needs_review — acceptable; note strings look natural or file translation bug).</t>
  </si>
  <si>
    <t xml:space="preserve">F3.1</t>
  </si>
  <si>
    <t xml:space="preserve">1) Expand More details.
2) Tap the Photo row.</t>
  </si>
  <si>
    <t xml:space="preserve">Inline Pro hint expands below the row. No modal races open.</t>
  </si>
  <si>
    <t xml:space="preserve">F3.2</t>
  </si>
  <si>
    <t xml:space="preserve">1) Tap 'Upgrade to Pro' in the hint.</t>
  </si>
  <si>
    <t xml:space="preserve">PaywallView opens via .fullScreenCover (NOT .sheet). No auto-dismiss. Verifies iOS-F3 fix.</t>
  </si>
  <si>
    <t xml:space="preserve">F3.3</t>
  </si>
  <si>
    <t xml:space="preserve">Paywall open from F3.2</t>
  </si>
  <si>
    <t xml:space="preserve">1) Tap Cancel/Close on paywall.</t>
  </si>
  <si>
    <t xml:space="preserve">Returns to Add Item. Photo row still visible. Pro hint may collapse or stay — no crash, no modal reopening loop.</t>
  </si>
  <si>
    <t xml:space="preserve">F3.4</t>
  </si>
  <si>
    <t xml:space="preserve">Free user, existing item, Edit sheet open</t>
  </si>
  <si>
    <t xml:space="preserve">1) Repeat F3.1–F3.3 in EditItemView.</t>
  </si>
  <si>
    <t xml:space="preserve">Same behavior. .fullScreenCover works from EditItem too.</t>
  </si>
  <si>
    <t xml:space="preserve">F3.5</t>
  </si>
  <si>
    <t xml:space="preserve">Purchase</t>
  </si>
  <si>
    <t xml:space="preserve">Free user, tap Upgrade from Photo → complete Sandbox purchase</t>
  </si>
  <si>
    <t xml:space="preserve">1) Complete flow.</t>
  </si>
  <si>
    <t xml:space="preserve">Paywall dismisses. Photo section flips to Pro row (Add Photo). isPro=true.</t>
  </si>
  <si>
    <t xml:space="preserve">F4.1</t>
  </si>
  <si>
    <t xml:space="preserve">Free user (isPro=false), online</t>
  </si>
  <si>
    <t xml:space="preserve">1) Cold launch app.
2) Wait for banner to appear (Dashboard or list).</t>
  </si>
  <si>
    <t xml:space="preserve">Amplitude: ad_requested fires. ad_loaded fires shortly after.</t>
  </si>
  <si>
    <t xml:space="preserve">F4.2</t>
  </si>
  <si>
    <t xml:space="preserve">1) Wait for ad to render.</t>
  </si>
  <si>
    <t xml:space="preserve">ad_impression fires after render (Google's impression definition — typically ≥50% visible for ≥1s).</t>
  </si>
  <si>
    <t xml:space="preserve">F4.3</t>
  </si>
  <si>
    <t xml:space="preserve">Airplane mode ON</t>
  </si>
  <si>
    <t xml:space="preserve">1) Toggle airplane mode in Settings.
2) Kill and cold launch app.
3) Try to trigger a banner refresh.</t>
  </si>
  <si>
    <t xml:space="preserve">ad_requested then ad_failed fires. No ad_loaded/impression/clicked.</t>
  </si>
  <si>
    <t xml:space="preserve">F4.4</t>
  </si>
  <si>
    <t xml:space="preserve">Free user, ad visible</t>
  </si>
  <si>
    <t xml:space="preserve">1) Tap the ad (or Google Test Ad on Debug build).</t>
  </si>
  <si>
    <t xml:space="preserve">ad_clicked fires. External browser or app opens per ad content.</t>
  </si>
  <si>
    <t xml:space="preserve">F4.5</t>
  </si>
  <si>
    <t xml:space="preserve">Ad interstitial / rewarded (if present)</t>
  </si>
  <si>
    <t xml:space="preserve">1) Trigger an interstitial (if the app shows one).
2) Dismiss.</t>
  </si>
  <si>
    <t xml:space="preserve">ad_dismissed fires. Return to app.</t>
  </si>
  <si>
    <t xml:space="preserve">F4.6</t>
  </si>
  <si>
    <t xml:space="preserve">Ads gating</t>
  </si>
  <si>
    <t xml:space="preserve">Pro user (or F1 trial active)</t>
  </si>
  <si>
    <t xml:space="preserve">1) Cold launch app.</t>
  </si>
  <si>
    <t xml:space="preserve">NO ad events fire. No banners render. Gating works — critical for Pro promise.</t>
  </si>
  <si>
    <t xml:space="preserve">F4.7</t>
  </si>
  <si>
    <t xml:space="preserve">Ads config</t>
  </si>
  <si>
    <t xml:space="preserve">Free user, first launch after install</t>
  </si>
  <si>
    <t xml:space="preserve">1) On first launch, ATT permission appears.
2) Grant or deny.</t>
  </si>
  <si>
    <t xml:space="preserve">Grant path: ad_requested proceeds normally. Deny path: ad_requested still fires (non-tracking ads served — verify no crash / no config error in console).</t>
  </si>
  <si>
    <t xml:space="preserve">F8.1</t>
  </si>
  <si>
    <t xml:space="preserve">Any user, at least one storage with items, on manual Count screen</t>
  </si>
  <si>
    <t xml:space="preserve">1) Open Count tab → tap a storage.
2) On the manual-count list, look at top.</t>
  </si>
  <si>
    <t xml:space="preserve">SmartCount entry chip is visible above the list (e.g. 'Smart Count' with sparkle icon). Tap → SmartCount modal.</t>
  </si>
  <si>
    <t xml:space="preserve">F8.2</t>
  </si>
  <si>
    <t xml:space="preserve">Same, on manual Sales screen</t>
  </si>
  <si>
    <t xml:space="preserve">1) Open manual SmartSales entry.</t>
  </si>
  <si>
    <t xml:space="preserve">SmartSales entry chip visible. Tap → opens mode picker.</t>
  </si>
  <si>
    <t xml:space="preserve">F8.3</t>
  </si>
  <si>
    <t xml:space="preserve">Chip tap</t>
  </si>
  <si>
    <t xml:space="preserve">From F8.1</t>
  </si>
  <si>
    <t xml:space="preserve">1) Tap the chip.</t>
  </si>
  <si>
    <t xml:space="preserve">Correct SmartCount flow opens (mode picker or last-used mode per app spec).</t>
  </si>
  <si>
    <t xml:space="preserve">F8.4</t>
  </si>
  <si>
    <t xml:space="preserve">Empty state</t>
  </si>
  <si>
    <t xml:space="preserve">Storage with ZERO items</t>
  </si>
  <si>
    <t xml:space="preserve">1) Open manual Count on an empty storage.</t>
  </si>
  <si>
    <t xml:space="preserve">Chip either hidden (recommended) or shown-with-hint. Document actual behavior — either is acceptable if consistent.</t>
  </si>
  <si>
    <t xml:space="preserve">Post-consolidation regression smoke — run on the merged master_scope_v1 build</t>
  </si>
  <si>
    <t xml:space="preserve">Do these AFTER all 10 branches merge into master_scope_v1 and before opening the TestFlight submission.</t>
  </si>
  <si>
    <t xml:space="preserve">Path</t>
  </si>
  <si>
    <t xml:space="preserve">Expected</t>
  </si>
  <si>
    <t xml:space="preserve">Actual / Bug</t>
  </si>
  <si>
    <t xml:space="preserve">SMK.1</t>
  </si>
  <si>
    <t xml:space="preserve">Fresh install</t>
  </si>
  <si>
    <t xml:space="preserve">1) Delete + reinstall from consolidated build.
2) Sign up new user.
3) Complete onboarding.</t>
  </si>
  <si>
    <t xml:space="preserve">Onboarding completes in &lt;60s. Lands on Dashboard with Go Pro banner.</t>
  </si>
  <si>
    <t xml:space="preserve">SMK.2</t>
  </si>
  <si>
    <t xml:space="preserve">Sign in existing</t>
  </si>
  <si>
    <t xml:space="preserve">1) Sign in test account.</t>
  </si>
  <si>
    <t xml:space="preserve">Cold launch → Dashboard in &lt;5s. All storages restore from Firestore.</t>
  </si>
  <si>
    <t xml:space="preserve">SMK.3</t>
  </si>
  <si>
    <t xml:space="preserve">Add storage</t>
  </si>
  <si>
    <t xml:space="preserve">1) Tap FAB on Storages → create storage.</t>
  </si>
  <si>
    <t xml:space="preserve">Storage saves. StorageCreated ActivityEvent fires.</t>
  </si>
  <si>
    <t xml:space="preserve">SMK.4</t>
  </si>
  <si>
    <t xml:space="preserve">Add item</t>
  </si>
  <si>
    <t xml:space="preserve">1) Add Item with only Name+Qty (from A4b).</t>
  </si>
  <si>
    <t xml:space="preserve">Saves in &lt;2s. Item appears in storage. ItemAdded event fires.</t>
  </si>
  <si>
    <t xml:space="preserve">SMK.5</t>
  </si>
  <si>
    <t xml:space="preserve">1) Add Item → barcode scan → known product.</t>
  </si>
  <si>
    <t xml:space="preserve">Scanner opens in .fullScreenCover (no err=-17281). Enrichment lands. No console prints (from A2).</t>
  </si>
  <si>
    <t xml:space="preserve">SMK.6</t>
  </si>
  <si>
    <t xml:space="preserve">Count</t>
  </si>
  <si>
    <t xml:space="preserve">1) Manual count on an item.</t>
  </si>
  <si>
    <t xml:space="preserve">Saves. ItemCounted event fires.</t>
  </si>
  <si>
    <t xml:space="preserve">SMK.7</t>
  </si>
  <si>
    <t xml:space="preserve">SmartCount voice</t>
  </si>
  <si>
    <t xml:space="preserve">1) SmartCount voice → review → save.</t>
  </si>
  <si>
    <t xml:space="preserve">Review UX from A5. smartCountCompleted fires.</t>
  </si>
  <si>
    <t xml:space="preserve">SMK.8</t>
  </si>
  <si>
    <t xml:space="preserve">SmartSales voice</t>
  </si>
  <si>
    <t xml:space="preserve">1) SmartSales voice → review with confidence → save.</t>
  </si>
  <si>
    <t xml:space="preserve">Confidence visible per line. Sale saves.</t>
  </si>
  <si>
    <t xml:space="preserve">SMK.9</t>
  </si>
  <si>
    <t xml:space="preserve">Paywall + trial</t>
  </si>
  <si>
    <t xml:space="preserve">1) On sandbox tester, hit item cap.
2) Trigger trial start.</t>
  </si>
  <si>
    <t xml:space="preserve">Trial banner shown (F1). Trial starts. isPro=true. trial_started fires ONCE.</t>
  </si>
  <si>
    <t xml:space="preserve">SMK.10</t>
  </si>
  <si>
    <t xml:space="preserve">Offline</t>
  </si>
  <si>
    <t xml:space="preserve">1) Airplane ON.
2) Add an item.
3) Airplane OFF.</t>
  </si>
  <si>
    <t xml:space="preserve">Item saves locally. On reconnect, Firestore sync completes silently. No data loss.</t>
  </si>
  <si>
    <t xml:space="preserve">Release Gate — must be green before App Store submission</t>
  </si>
  <si>
    <t xml:space="preserve">Trust-debt (handoff §7)</t>
  </si>
  <si>
    <t xml:space="preserve">#</t>
  </si>
  <si>
    <t xml:space="preserve">Where to fix</t>
  </si>
  <si>
    <t xml:space="preserve">Done?</t>
  </si>
  <si>
    <t xml:space="preserve">1</t>
  </si>
  <si>
    <t xml:space="preserve">Listing says "unlimited free items" — code caps 50/storage.</t>
  </si>
  <si>
    <t xml:space="preserve">App Store Connect → App Info → Description. Rewrite to state 'unlimited on Pro; 50 per storage on Free'.</t>
  </si>
  <si>
    <t xml:space="preserve">2</t>
  </si>
  <si>
    <t xml:space="preserve">Listing says "Pro cloud sync" — cloud sync is actually free in code.</t>
  </si>
  <si>
    <t xml:space="preserve">ASC Description. Remove that Pro claim OR gate cloud sync to Pro in code (product decision).</t>
  </si>
  <si>
    <t xml:space="preserve">3</t>
  </si>
  <si>
    <t xml:space="preserve">Listing overstates "AI reorder suggestions".</t>
  </si>
  <si>
    <t xml:space="preserve">ASC Description. Rewrite to reflect actual capability, or ship the feature.</t>
  </si>
  <si>
    <t xml:space="preserve">4</t>
  </si>
  <si>
    <t xml:space="preserve">"No manual entry, no errors" contradicts review flow.</t>
  </si>
  <si>
    <t xml:space="preserve">ASC Description. Reword or remove.</t>
  </si>
  <si>
    <t xml:space="preserve">5</t>
  </si>
  <si>
    <t xml:space="preserve">Paywall labels multi-user collaboration "Coming soon" but it's shipped.</t>
  </si>
  <si>
    <t xml:space="preserve">PaywallView copy. Remove 'Coming soon' from Multi-user row.</t>
  </si>
  <si>
    <t xml:space="preserve">6</t>
  </si>
  <si>
    <t xml:space="preserve">Docs still cite $2.99/$22.99 — live IAP is ₹499/₹3,999.</t>
  </si>
  <si>
    <t xml:space="preserve">Search repo: `grep -rn '$2.99\|22.99' .`. Replace with StoreKit-localized price references.</t>
  </si>
  <si>
    <t xml:space="preserve">Retention gate ledger (Growth paid spend BLOCKED until all green)</t>
  </si>
  <si>
    <t xml:space="preserve">Current (2026-08-21)</t>
  </si>
  <si>
    <t xml:space="preserve">Target</t>
  </si>
  <si>
    <t xml:space="preserve">Latest reading</t>
  </si>
  <si>
    <t xml:space="preserve">Green?</t>
  </si>
  <si>
    <t xml:space="preserve">New → storage → item activation (7d)</t>
  </si>
  <si>
    <t xml:space="preserve">10.8%</t>
  </si>
  <si>
    <t xml:space="preserve">≥25%</t>
  </si>
  <si>
    <t xml:space="preserve">Add-item completion</t>
  </si>
  <si>
    <t xml:space="preserve">60%</t>
  </si>
  <si>
    <t xml:space="preserve">≥80%</t>
  </si>
  <si>
    <t xml:space="preserve">Smart Count completion</t>
  </si>
  <si>
    <t xml:space="preserve">29.6%</t>
  </si>
  <si>
    <t xml:space="preserve">≥55%</t>
  </si>
  <si>
    <t xml:space="preserve">Week-1 retention (two mature cohorts)</t>
  </si>
  <si>
    <t xml:space="preserve">13.3%</t>
  </si>
  <si>
    <t xml:space="preserve">≥20% × 2</t>
  </si>
  <si>
    <t xml:space="preserve">Weekly retail-loop shops (4 consecutive weeks)</t>
  </si>
  <si>
    <t xml:space="preserve">0</t>
  </si>
  <si>
    <t xml:space="preserve">≥5 × 4w</t>
  </si>
  <si>
    <t xml:space="preserve">Definition of Done — ship checklist</t>
  </si>
  <si>
    <t xml:space="preserve">Owner</t>
  </si>
  <si>
    <t xml:space="preserve">All P0 test cases in the 'Test Cases' tab: Pass.</t>
  </si>
  <si>
    <t xml:space="preserve">CEO (manual QA)</t>
  </si>
  <si>
    <t xml:space="preserve">All SMK regression smoke cases on consolidated build: Pass.</t>
  </si>
  <si>
    <t xml:space="preserve">CEO</t>
  </si>
  <si>
    <t xml:space="preserve">All trust-debt items closed (§7 above).</t>
  </si>
  <si>
    <t xml:space="preserve">CEO + Growth advisor</t>
  </si>
  <si>
    <t xml:space="preserve">SubscriptionManager.isPro not hardcoded true anywhere.</t>
  </si>
  <si>
    <t xml:space="preserve">iOS-eng</t>
  </si>
  <si>
    <t xml:space="preserve">BarcodeEnrichmentService has no debug print() calls.</t>
  </si>
  <si>
    <t xml:space="preserve">New analytics event 'add_item_more_details_toggled' entered in Amplitude tracking plan (project 832993).</t>
  </si>
  <si>
    <t xml:space="preserve">Data analyst</t>
  </si>
  <si>
    <t xml:space="preserve">7</t>
  </si>
  <si>
    <t xml:space="preserve">Trial events (trial_started/converted/cancelled/expired) entered in tracking plan.</t>
  </si>
  <si>
    <t xml:space="preserve">8</t>
  </si>
  <si>
    <t xml:space="preserve">AdMob ad_* events entered in tracking plan.</t>
  </si>
  <si>
    <t xml:space="preserve">9</t>
  </si>
  <si>
    <t xml:space="preserve">Build number bumped in Xcode (currently 8; next release +1).</t>
  </si>
  <si>
    <t xml:space="preserve">10</t>
  </si>
  <si>
    <t xml:space="preserve">TestFlight upload succeeds. Internal testers can install.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</si>
</sst>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6.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35.05" hidden="false" customHeight="false" outlineLevel="0" collapsed="false">
      <c r="A10" s="5" t="s">
        <v>13</v>
      </c>
      <c r="B10" s="6" t="s">
        <v>14</v>
      </c>
    </row>
    <row r="11" customFormat="false" ht="23.85" hidden="false" customHeight="false" outlineLevel="0" collapsed="false">
      <c r="A11" s="5" t="s">
        <v>15</v>
      </c>
      <c r="B11" s="6" t="s">
        <v>16</v>
      </c>
    </row>
    <row r="12" customFormat="false" ht="23.85" hidden="false" customHeight="false" outlineLevel="0" collapsed="false">
      <c r="A12" s="5" t="s">
        <v>17</v>
      </c>
      <c r="B12" s="6" t="s">
        <v>18</v>
      </c>
    </row>
    <row r="13" customFormat="false" ht="35.05" hidden="false" customHeight="false" outlineLevel="0" collapsed="false">
      <c r="A13" s="5" t="s">
        <v>19</v>
      </c>
      <c r="B13" s="6" t="s">
        <v>20</v>
      </c>
    </row>
    <row r="14" customFormat="false" ht="23.85" hidden="false" customHeight="false" outlineLevel="0" collapsed="false">
      <c r="A14" s="5" t="s">
        <v>21</v>
      </c>
      <c r="B14" s="6" t="s">
        <v>22</v>
      </c>
    </row>
    <row r="17" customFormat="false" ht="16.15" hidden="false" customHeight="false" outlineLevel="0" collapsed="false">
      <c r="A17" s="3" t="s">
        <v>23</v>
      </c>
    </row>
    <row r="18" customFormat="false" ht="31.5" hidden="false" customHeight="true" outlineLevel="0" collapsed="false">
      <c r="A18" s="4" t="s">
        <v>24</v>
      </c>
      <c r="B18" s="4" t="s">
        <v>25</v>
      </c>
      <c r="C18" s="4" t="s">
        <v>26</v>
      </c>
      <c r="D18" s="4" t="s">
        <v>27</v>
      </c>
      <c r="E18" s="4" t="s">
        <v>28</v>
      </c>
      <c r="F18" s="4" t="s">
        <v>29</v>
      </c>
    </row>
    <row r="19" customFormat="false" ht="23.85" hidden="false" customHeight="false" outlineLevel="0" collapsed="false">
      <c r="A19" s="7" t="s">
        <v>30</v>
      </c>
      <c r="B19" s="6" t="s">
        <v>31</v>
      </c>
      <c r="C19" s="7" t="n">
        <v>14</v>
      </c>
      <c r="D19" s="8" t="s">
        <v>32</v>
      </c>
      <c r="E19" s="7" t="n">
        <v>25</v>
      </c>
      <c r="F19" s="7" t="s">
        <v>33</v>
      </c>
    </row>
    <row r="20" customFormat="false" ht="15" hidden="false" customHeight="false" outlineLevel="0" collapsed="false">
      <c r="A20" s="7" t="s">
        <v>34</v>
      </c>
      <c r="B20" s="6" t="s">
        <v>35</v>
      </c>
      <c r="C20" s="7" t="n">
        <v>3</v>
      </c>
      <c r="D20" s="9" t="s">
        <v>36</v>
      </c>
      <c r="E20" s="7" t="n">
        <v>8</v>
      </c>
      <c r="F20" s="7" t="s">
        <v>33</v>
      </c>
    </row>
    <row r="21" customFormat="false" ht="15" hidden="false" customHeight="false" outlineLevel="0" collapsed="false">
      <c r="A21" s="7" t="s">
        <v>37</v>
      </c>
      <c r="B21" s="6" t="s">
        <v>38</v>
      </c>
      <c r="C21" s="7" t="n">
        <v>5</v>
      </c>
      <c r="D21" s="8" t="s">
        <v>32</v>
      </c>
      <c r="E21" s="7" t="n">
        <v>10</v>
      </c>
      <c r="F21" s="7" t="s">
        <v>33</v>
      </c>
    </row>
    <row r="22" customFormat="false" ht="15" hidden="false" customHeight="false" outlineLevel="0" collapsed="false">
      <c r="A22" s="7" t="s">
        <v>39</v>
      </c>
      <c r="B22" s="6" t="s">
        <v>40</v>
      </c>
      <c r="C22" s="7" t="n">
        <v>12</v>
      </c>
      <c r="D22" s="8" t="s">
        <v>32</v>
      </c>
      <c r="E22" s="7" t="n">
        <v>30</v>
      </c>
      <c r="F22" s="7" t="s">
        <v>33</v>
      </c>
    </row>
    <row r="23" customFormat="false" ht="15" hidden="false" customHeight="false" outlineLevel="0" collapsed="false">
      <c r="A23" s="7" t="s">
        <v>41</v>
      </c>
      <c r="B23" s="6" t="s">
        <v>42</v>
      </c>
      <c r="C23" s="7" t="n">
        <v>4</v>
      </c>
      <c r="D23" s="9" t="s">
        <v>36</v>
      </c>
      <c r="E23" s="7" t="n">
        <v>15</v>
      </c>
      <c r="F23" s="7" t="s">
        <v>33</v>
      </c>
    </row>
    <row r="24" customFormat="false" ht="15" hidden="false" customHeight="false" outlineLevel="0" collapsed="false">
      <c r="A24" s="7" t="s">
        <v>43</v>
      </c>
      <c r="B24" s="6" t="s">
        <v>44</v>
      </c>
      <c r="C24" s="7" t="n">
        <v>6</v>
      </c>
      <c r="D24" s="8" t="s">
        <v>32</v>
      </c>
      <c r="E24" s="7" t="n">
        <v>25</v>
      </c>
      <c r="F24" s="7" t="s">
        <v>33</v>
      </c>
    </row>
    <row r="25" customFormat="false" ht="15" hidden="false" customHeight="false" outlineLevel="0" collapsed="false">
      <c r="A25" s="7" t="s">
        <v>45</v>
      </c>
      <c r="B25" s="6" t="s">
        <v>46</v>
      </c>
      <c r="C25" s="7" t="n">
        <v>14</v>
      </c>
      <c r="D25" s="8" t="s">
        <v>32</v>
      </c>
      <c r="E25" s="7" t="n">
        <v>45</v>
      </c>
      <c r="F25" s="7" t="s">
        <v>33</v>
      </c>
    </row>
    <row r="26" customFormat="false" ht="15" hidden="false" customHeight="false" outlineLevel="0" collapsed="false">
      <c r="A26" s="7" t="s">
        <v>47</v>
      </c>
      <c r="B26" s="6" t="s">
        <v>48</v>
      </c>
      <c r="C26" s="7" t="n">
        <v>5</v>
      </c>
      <c r="D26" s="8" t="s">
        <v>32</v>
      </c>
      <c r="E26" s="7" t="n">
        <v>12</v>
      </c>
      <c r="F26" s="7" t="s">
        <v>33</v>
      </c>
    </row>
    <row r="27" customFormat="false" ht="15" hidden="false" customHeight="false" outlineLevel="0" collapsed="false">
      <c r="A27" s="7" t="s">
        <v>49</v>
      </c>
      <c r="B27" s="6" t="s">
        <v>50</v>
      </c>
      <c r="C27" s="7" t="n">
        <v>7</v>
      </c>
      <c r="D27" s="9" t="s">
        <v>36</v>
      </c>
      <c r="E27" s="7" t="n">
        <v>15</v>
      </c>
      <c r="F27" s="7" t="s">
        <v>33</v>
      </c>
    </row>
    <row r="28" customFormat="false" ht="23.85" hidden="false" customHeight="false" outlineLevel="0" collapsed="false">
      <c r="A28" s="7" t="s">
        <v>51</v>
      </c>
      <c r="B28" s="6" t="s">
        <v>52</v>
      </c>
      <c r="C28" s="7" t="n">
        <v>4</v>
      </c>
      <c r="D28" s="9" t="s">
        <v>36</v>
      </c>
      <c r="E28" s="7" t="n">
        <v>10</v>
      </c>
      <c r="F28" s="7" t="s">
        <v>33</v>
      </c>
    </row>
    <row r="29" customFormat="false" ht="15" hidden="false" customHeight="false" outlineLevel="0" collapsed="false">
      <c r="A29" s="7" t="s">
        <v>53</v>
      </c>
      <c r="B29" s="6" t="s">
        <v>54</v>
      </c>
      <c r="C29" s="7" t="n">
        <v>10</v>
      </c>
      <c r="D29" s="8" t="s">
        <v>32</v>
      </c>
      <c r="E29" s="7" t="n">
        <v>25</v>
      </c>
      <c r="F29" s="7" t="s">
        <v>55</v>
      </c>
    </row>
    <row r="30" customFormat="false" ht="15" hidden="false" customHeight="false" outlineLevel="0" collapsed="false">
      <c r="A30" s="7" t="s">
        <v>56</v>
      </c>
      <c r="B30" s="6" t="s">
        <v>57</v>
      </c>
      <c r="C30" s="7" t="n">
        <v>10</v>
      </c>
      <c r="D30" s="8" t="s">
        <v>32</v>
      </c>
      <c r="E30" s="7" t="n">
        <v>15</v>
      </c>
      <c r="F30" s="7" t="s">
        <v>58</v>
      </c>
    </row>
    <row r="31" customFormat="false" ht="15" hidden="false" customHeight="false" outlineLevel="0" collapsed="false">
      <c r="A31" s="10" t="s">
        <v>59</v>
      </c>
      <c r="B31" s="11"/>
      <c r="C31" s="10" t="n">
        <f aca="false">SUM(C19:C30)</f>
        <v>94</v>
      </c>
      <c r="D31" s="11"/>
      <c r="E31" s="12" t="n">
        <f aca="false">SUM(E19:E30)</f>
        <v>235</v>
      </c>
      <c r="F31" s="11"/>
    </row>
    <row r="34" customFormat="false" ht="16.15" hidden="false" customHeight="false" outlineLevel="0" collapsed="false">
      <c r="A34" s="3" t="s">
        <v>60</v>
      </c>
    </row>
    <row r="35" customFormat="false" ht="15" hidden="false" customHeight="false" outlineLevel="0" collapsed="false">
      <c r="A35" s="13" t="s">
        <v>32</v>
      </c>
      <c r="B35" s="14" t="s">
        <v>61</v>
      </c>
    </row>
    <row r="36" customFormat="false" ht="15" hidden="false" customHeight="false" outlineLevel="0" collapsed="false">
      <c r="A36" s="15" t="s">
        <v>36</v>
      </c>
      <c r="B36" s="14" t="s">
        <v>62</v>
      </c>
    </row>
    <row r="37" customFormat="false" ht="15" hidden="false" customHeight="false" outlineLevel="0" collapsed="false">
      <c r="A37" s="16" t="s">
        <v>63</v>
      </c>
      <c r="B37" s="14" t="s">
        <v>64</v>
      </c>
    </row>
    <row r="38" customFormat="false" ht="15" hidden="false" customHeight="false" outlineLevel="0" collapsed="false">
      <c r="A38" s="17" t="s">
        <v>65</v>
      </c>
      <c r="B38" s="14" t="s">
        <v>66</v>
      </c>
    </row>
    <row r="39" customFormat="false" ht="15" hidden="false" customHeight="false" outlineLevel="0" collapsed="false">
      <c r="A39" s="18" t="s">
        <v>67</v>
      </c>
      <c r="B39" s="14" t="s">
        <v>68</v>
      </c>
    </row>
    <row r="42" customFormat="false" ht="16.15" hidden="false" customHeight="false" outlineLevel="0" collapsed="false">
      <c r="A42" s="3" t="s">
        <v>69</v>
      </c>
    </row>
    <row r="43" customFormat="false" ht="21.75" hidden="false" customHeight="true" outlineLevel="0" collapsed="false">
      <c r="A43" s="19" t="s">
        <v>70</v>
      </c>
      <c r="B43" s="19"/>
      <c r="C43" s="19"/>
      <c r="D43" s="19"/>
      <c r="E43" s="19"/>
      <c r="F43" s="19"/>
      <c r="G43" s="19"/>
    </row>
    <row r="44" customFormat="false" ht="21.75" hidden="false" customHeight="true" outlineLevel="0" collapsed="false">
      <c r="A44" s="19" t="s">
        <v>71</v>
      </c>
      <c r="B44" s="19"/>
      <c r="C44" s="19"/>
      <c r="D44" s="19"/>
      <c r="E44" s="19"/>
      <c r="F44" s="19"/>
      <c r="G44" s="19"/>
    </row>
    <row r="45" customFormat="false" ht="21.75" hidden="false" customHeight="true" outlineLevel="0" collapsed="false">
      <c r="A45" s="19" t="s">
        <v>72</v>
      </c>
      <c r="B45" s="19"/>
      <c r="C45" s="19"/>
      <c r="D45" s="19"/>
      <c r="E45" s="19"/>
      <c r="F45" s="19"/>
      <c r="G45" s="19"/>
    </row>
    <row r="46" customFormat="false" ht="21.75" hidden="false" customHeight="true" outlineLevel="0" collapsed="false">
      <c r="A46" s="19" t="s">
        <v>73</v>
      </c>
      <c r="B46" s="19"/>
      <c r="C46" s="19"/>
      <c r="D46" s="19"/>
      <c r="E46" s="19"/>
      <c r="F46" s="19"/>
      <c r="G46" s="19"/>
    </row>
    <row r="47" customFormat="false" ht="21.75" hidden="false" customHeight="true" outlineLevel="0" collapsed="false">
      <c r="A47" s="19" t="s">
        <v>74</v>
      </c>
      <c r="B47" s="19"/>
      <c r="C47" s="19"/>
      <c r="D47" s="19"/>
      <c r="E47" s="19"/>
      <c r="F47" s="19"/>
      <c r="G47" s="19"/>
    </row>
    <row r="48" customFormat="false" ht="21.75" hidden="false" customHeight="true" outlineLevel="0" collapsed="false">
      <c r="A48" s="19" t="s">
        <v>75</v>
      </c>
      <c r="B48" s="19"/>
      <c r="C48" s="19"/>
      <c r="D48" s="19"/>
      <c r="E48" s="19"/>
      <c r="F48" s="19"/>
      <c r="G48" s="19"/>
    </row>
    <row r="49" customFormat="false" ht="21.75" hidden="false" customHeight="true" outlineLevel="0" collapsed="false">
      <c r="A49" s="19" t="s">
        <v>76</v>
      </c>
      <c r="B49" s="19"/>
      <c r="C49" s="19"/>
      <c r="D49" s="19"/>
      <c r="E49" s="19"/>
      <c r="F49" s="19"/>
      <c r="G49" s="19"/>
    </row>
  </sheetData>
  <mergeCells count="9">
    <mergeCell ref="A1:G1"/>
    <mergeCell ref="A2:G2"/>
    <mergeCell ref="A43:G43"/>
    <mergeCell ref="A44:G44"/>
    <mergeCell ref="A45:G45"/>
    <mergeCell ref="A46:G46"/>
    <mergeCell ref="A47:G47"/>
    <mergeCell ref="A48:G48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60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22"/>
  </cols>
  <sheetData>
    <row r="1" customFormat="false" ht="31.5" hidden="false" customHeight="true" outlineLevel="0" collapsed="false">
      <c r="A1" s="4" t="s">
        <v>77</v>
      </c>
      <c r="B1" s="4" t="s">
        <v>24</v>
      </c>
      <c r="C1" s="4" t="s">
        <v>27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84</v>
      </c>
    </row>
    <row r="2" customFormat="false" ht="75" hidden="false" customHeight="true" outlineLevel="0" collapsed="false">
      <c r="A2" s="20" t="s">
        <v>85</v>
      </c>
      <c r="B2" s="7" t="s">
        <v>30</v>
      </c>
      <c r="C2" s="21" t="s">
        <v>32</v>
      </c>
      <c r="D2" s="7" t="s">
        <v>86</v>
      </c>
      <c r="E2" s="6" t="s">
        <v>87</v>
      </c>
      <c r="F2" s="6" t="s">
        <v>88</v>
      </c>
      <c r="G2" s="6" t="s">
        <v>89</v>
      </c>
      <c r="H2" s="22"/>
      <c r="I2" s="23"/>
      <c r="J2" s="23"/>
    </row>
    <row r="3" customFormat="false" ht="60" hidden="false" customHeight="true" outlineLevel="0" collapsed="false">
      <c r="A3" s="20" t="s">
        <v>90</v>
      </c>
      <c r="B3" s="7" t="s">
        <v>30</v>
      </c>
      <c r="C3" s="21" t="s">
        <v>32</v>
      </c>
      <c r="D3" s="7" t="s">
        <v>86</v>
      </c>
      <c r="E3" s="6" t="s">
        <v>91</v>
      </c>
      <c r="F3" s="6" t="s">
        <v>92</v>
      </c>
      <c r="G3" s="6" t="s">
        <v>93</v>
      </c>
      <c r="H3" s="22"/>
      <c r="I3" s="23"/>
      <c r="J3" s="23"/>
    </row>
    <row r="4" customFormat="false" ht="60" hidden="false" customHeight="true" outlineLevel="0" collapsed="false">
      <c r="A4" s="20" t="s">
        <v>94</v>
      </c>
      <c r="B4" s="7" t="s">
        <v>30</v>
      </c>
      <c r="C4" s="21" t="s">
        <v>32</v>
      </c>
      <c r="D4" s="7" t="s">
        <v>95</v>
      </c>
      <c r="E4" s="6" t="s">
        <v>96</v>
      </c>
      <c r="F4" s="6" t="s">
        <v>97</v>
      </c>
      <c r="G4" s="6" t="s">
        <v>98</v>
      </c>
      <c r="H4" s="22"/>
      <c r="I4" s="23"/>
      <c r="J4" s="23"/>
    </row>
    <row r="5" customFormat="false" ht="60" hidden="false" customHeight="true" outlineLevel="0" collapsed="false">
      <c r="A5" s="20" t="s">
        <v>99</v>
      </c>
      <c r="B5" s="7" t="s">
        <v>30</v>
      </c>
      <c r="C5" s="21" t="s">
        <v>32</v>
      </c>
      <c r="D5" s="7" t="s">
        <v>100</v>
      </c>
      <c r="E5" s="6" t="s">
        <v>101</v>
      </c>
      <c r="F5" s="6" t="s">
        <v>102</v>
      </c>
      <c r="G5" s="6" t="s">
        <v>103</v>
      </c>
      <c r="H5" s="22"/>
      <c r="I5" s="23"/>
      <c r="J5" s="23"/>
    </row>
    <row r="6" customFormat="false" ht="60" hidden="false" customHeight="true" outlineLevel="0" collapsed="false">
      <c r="A6" s="20" t="s">
        <v>104</v>
      </c>
      <c r="B6" s="7" t="s">
        <v>30</v>
      </c>
      <c r="C6" s="21" t="s">
        <v>32</v>
      </c>
      <c r="D6" s="7" t="s">
        <v>105</v>
      </c>
      <c r="E6" s="6" t="s">
        <v>106</v>
      </c>
      <c r="F6" s="6" t="s">
        <v>107</v>
      </c>
      <c r="G6" s="6" t="s">
        <v>108</v>
      </c>
      <c r="H6" s="22"/>
      <c r="I6" s="23"/>
      <c r="J6" s="23"/>
    </row>
    <row r="7" customFormat="false" ht="60" hidden="false" customHeight="true" outlineLevel="0" collapsed="false">
      <c r="A7" s="20" t="s">
        <v>109</v>
      </c>
      <c r="B7" s="7" t="s">
        <v>30</v>
      </c>
      <c r="C7" s="21" t="s">
        <v>32</v>
      </c>
      <c r="D7" s="7" t="s">
        <v>110</v>
      </c>
      <c r="E7" s="6" t="s">
        <v>106</v>
      </c>
      <c r="F7" s="6" t="s">
        <v>111</v>
      </c>
      <c r="G7" s="6" t="s">
        <v>112</v>
      </c>
      <c r="H7" s="22"/>
      <c r="I7" s="23"/>
      <c r="J7" s="23"/>
    </row>
    <row r="8" customFormat="false" ht="60" hidden="false" customHeight="true" outlineLevel="0" collapsed="false">
      <c r="A8" s="20" t="s">
        <v>113</v>
      </c>
      <c r="B8" s="7" t="s">
        <v>30</v>
      </c>
      <c r="C8" s="21" t="s">
        <v>32</v>
      </c>
      <c r="D8" s="7" t="s">
        <v>114</v>
      </c>
      <c r="E8" s="6" t="s">
        <v>115</v>
      </c>
      <c r="F8" s="6" t="s">
        <v>116</v>
      </c>
      <c r="G8" s="6" t="s">
        <v>117</v>
      </c>
      <c r="H8" s="22"/>
      <c r="I8" s="23"/>
      <c r="J8" s="23"/>
    </row>
    <row r="9" customFormat="false" ht="60" hidden="false" customHeight="true" outlineLevel="0" collapsed="false">
      <c r="A9" s="20" t="s">
        <v>118</v>
      </c>
      <c r="B9" s="7" t="s">
        <v>30</v>
      </c>
      <c r="C9" s="24" t="s">
        <v>36</v>
      </c>
      <c r="D9" s="7" t="s">
        <v>86</v>
      </c>
      <c r="E9" s="6" t="s">
        <v>106</v>
      </c>
      <c r="F9" s="6" t="s">
        <v>119</v>
      </c>
      <c r="G9" s="6" t="s">
        <v>120</v>
      </c>
      <c r="H9" s="22"/>
      <c r="I9" s="23"/>
      <c r="J9" s="23"/>
    </row>
    <row r="10" customFormat="false" ht="60" hidden="false" customHeight="true" outlineLevel="0" collapsed="false">
      <c r="A10" s="20" t="s">
        <v>121</v>
      </c>
      <c r="B10" s="7" t="s">
        <v>30</v>
      </c>
      <c r="C10" s="24" t="s">
        <v>36</v>
      </c>
      <c r="D10" s="7" t="s">
        <v>122</v>
      </c>
      <c r="E10" s="6" t="s">
        <v>106</v>
      </c>
      <c r="F10" s="6" t="s">
        <v>123</v>
      </c>
      <c r="G10" s="6" t="s">
        <v>124</v>
      </c>
      <c r="H10" s="22"/>
      <c r="I10" s="23"/>
      <c r="J10" s="23"/>
    </row>
    <row r="11" customFormat="false" ht="60" hidden="false" customHeight="true" outlineLevel="0" collapsed="false">
      <c r="A11" s="20" t="s">
        <v>125</v>
      </c>
      <c r="B11" s="7" t="s">
        <v>30</v>
      </c>
      <c r="C11" s="21" t="s">
        <v>32</v>
      </c>
      <c r="D11" s="7" t="s">
        <v>126</v>
      </c>
      <c r="E11" s="6" t="s">
        <v>106</v>
      </c>
      <c r="F11" s="6" t="s">
        <v>127</v>
      </c>
      <c r="G11" s="6" t="s">
        <v>128</v>
      </c>
      <c r="H11" s="22"/>
      <c r="I11" s="23"/>
      <c r="J11" s="23"/>
    </row>
    <row r="12" customFormat="false" ht="60" hidden="false" customHeight="true" outlineLevel="0" collapsed="false">
      <c r="A12" s="20" t="s">
        <v>129</v>
      </c>
      <c r="B12" s="7" t="s">
        <v>30</v>
      </c>
      <c r="C12" s="21" t="s">
        <v>32</v>
      </c>
      <c r="D12" s="7" t="s">
        <v>126</v>
      </c>
      <c r="E12" s="6" t="s">
        <v>106</v>
      </c>
      <c r="F12" s="6" t="s">
        <v>130</v>
      </c>
      <c r="G12" s="6" t="s">
        <v>131</v>
      </c>
      <c r="H12" s="22"/>
      <c r="I12" s="23"/>
      <c r="J12" s="23"/>
    </row>
    <row r="13" customFormat="false" ht="60" hidden="false" customHeight="true" outlineLevel="0" collapsed="false">
      <c r="A13" s="20" t="s">
        <v>132</v>
      </c>
      <c r="B13" s="7" t="s">
        <v>30</v>
      </c>
      <c r="C13" s="24" t="s">
        <v>36</v>
      </c>
      <c r="D13" s="7" t="s">
        <v>133</v>
      </c>
      <c r="E13" s="6" t="s">
        <v>106</v>
      </c>
      <c r="F13" s="6" t="s">
        <v>134</v>
      </c>
      <c r="G13" s="6" t="s">
        <v>135</v>
      </c>
      <c r="H13" s="22"/>
      <c r="I13" s="23"/>
      <c r="J13" s="23"/>
    </row>
    <row r="14" customFormat="false" ht="60" hidden="false" customHeight="true" outlineLevel="0" collapsed="false">
      <c r="A14" s="20" t="s">
        <v>136</v>
      </c>
      <c r="B14" s="7" t="s">
        <v>30</v>
      </c>
      <c r="C14" s="21" t="s">
        <v>32</v>
      </c>
      <c r="D14" s="7" t="s">
        <v>137</v>
      </c>
      <c r="E14" s="6" t="s">
        <v>138</v>
      </c>
      <c r="F14" s="6" t="s">
        <v>139</v>
      </c>
      <c r="G14" s="6" t="s">
        <v>140</v>
      </c>
      <c r="H14" s="22"/>
      <c r="I14" s="23"/>
      <c r="J14" s="23"/>
    </row>
    <row r="15" customFormat="false" ht="60" hidden="false" customHeight="true" outlineLevel="0" collapsed="false">
      <c r="A15" s="20" t="s">
        <v>141</v>
      </c>
      <c r="B15" s="7" t="s">
        <v>30</v>
      </c>
      <c r="C15" s="21" t="s">
        <v>32</v>
      </c>
      <c r="D15" s="7" t="s">
        <v>142</v>
      </c>
      <c r="E15" s="6" t="s">
        <v>143</v>
      </c>
      <c r="F15" s="6" t="s">
        <v>144</v>
      </c>
      <c r="G15" s="6" t="s">
        <v>145</v>
      </c>
      <c r="H15" s="22"/>
      <c r="I15" s="23"/>
      <c r="J15" s="23"/>
    </row>
    <row r="16" customFormat="false" ht="60" hidden="false" customHeight="true" outlineLevel="0" collapsed="false">
      <c r="A16" s="20" t="s">
        <v>146</v>
      </c>
      <c r="B16" s="7" t="s">
        <v>34</v>
      </c>
      <c r="C16" s="24" t="s">
        <v>36</v>
      </c>
      <c r="D16" s="7" t="s">
        <v>147</v>
      </c>
      <c r="E16" s="6" t="s">
        <v>148</v>
      </c>
      <c r="F16" s="6" t="s">
        <v>149</v>
      </c>
      <c r="G16" s="6" t="s">
        <v>150</v>
      </c>
      <c r="H16" s="22"/>
      <c r="I16" s="23"/>
      <c r="J16" s="23"/>
    </row>
    <row r="17" customFormat="false" ht="60" hidden="false" customHeight="true" outlineLevel="0" collapsed="false">
      <c r="A17" s="20" t="s">
        <v>151</v>
      </c>
      <c r="B17" s="7" t="s">
        <v>34</v>
      </c>
      <c r="C17" s="24" t="s">
        <v>36</v>
      </c>
      <c r="D17" s="7" t="s">
        <v>147</v>
      </c>
      <c r="E17" s="6" t="s">
        <v>152</v>
      </c>
      <c r="F17" s="6" t="s">
        <v>153</v>
      </c>
      <c r="G17" s="6" t="s">
        <v>154</v>
      </c>
      <c r="H17" s="22"/>
      <c r="I17" s="23"/>
      <c r="J17" s="23"/>
    </row>
    <row r="18" customFormat="false" ht="60" hidden="false" customHeight="true" outlineLevel="0" collapsed="false">
      <c r="A18" s="20" t="s">
        <v>155</v>
      </c>
      <c r="B18" s="7" t="s">
        <v>34</v>
      </c>
      <c r="C18" s="24" t="s">
        <v>36</v>
      </c>
      <c r="D18" s="7" t="s">
        <v>147</v>
      </c>
      <c r="E18" s="6" t="s">
        <v>156</v>
      </c>
      <c r="F18" s="6" t="s">
        <v>157</v>
      </c>
      <c r="G18" s="6" t="s">
        <v>158</v>
      </c>
      <c r="H18" s="22"/>
      <c r="I18" s="23"/>
      <c r="J18" s="23"/>
    </row>
    <row r="19" customFormat="false" ht="60" hidden="false" customHeight="true" outlineLevel="0" collapsed="false">
      <c r="A19" s="20" t="s">
        <v>159</v>
      </c>
      <c r="B19" s="7" t="s">
        <v>37</v>
      </c>
      <c r="C19" s="21" t="s">
        <v>32</v>
      </c>
      <c r="D19" s="7" t="s">
        <v>160</v>
      </c>
      <c r="E19" s="6" t="s">
        <v>161</v>
      </c>
      <c r="F19" s="6" t="s">
        <v>162</v>
      </c>
      <c r="G19" s="6" t="s">
        <v>163</v>
      </c>
      <c r="H19" s="22"/>
      <c r="I19" s="23"/>
      <c r="J19" s="23"/>
    </row>
    <row r="20" customFormat="false" ht="60" hidden="false" customHeight="true" outlineLevel="0" collapsed="false">
      <c r="A20" s="20" t="s">
        <v>164</v>
      </c>
      <c r="B20" s="7" t="s">
        <v>37</v>
      </c>
      <c r="C20" s="21" t="s">
        <v>32</v>
      </c>
      <c r="D20" s="7" t="s">
        <v>165</v>
      </c>
      <c r="E20" s="6" t="s">
        <v>166</v>
      </c>
      <c r="F20" s="6" t="s">
        <v>167</v>
      </c>
      <c r="G20" s="6" t="s">
        <v>168</v>
      </c>
      <c r="H20" s="22"/>
      <c r="I20" s="23"/>
      <c r="J20" s="23"/>
    </row>
    <row r="21" customFormat="false" ht="60" hidden="false" customHeight="true" outlineLevel="0" collapsed="false">
      <c r="A21" s="20" t="s">
        <v>169</v>
      </c>
      <c r="B21" s="7" t="s">
        <v>37</v>
      </c>
      <c r="C21" s="21" t="s">
        <v>32</v>
      </c>
      <c r="D21" s="7" t="s">
        <v>160</v>
      </c>
      <c r="E21" s="6" t="s">
        <v>170</v>
      </c>
      <c r="F21" s="6" t="s">
        <v>171</v>
      </c>
      <c r="G21" s="6" t="s">
        <v>172</v>
      </c>
      <c r="H21" s="22"/>
      <c r="I21" s="23"/>
      <c r="J21" s="23"/>
    </row>
    <row r="22" customFormat="false" ht="60" hidden="false" customHeight="true" outlineLevel="0" collapsed="false">
      <c r="A22" s="20" t="s">
        <v>173</v>
      </c>
      <c r="B22" s="7" t="s">
        <v>37</v>
      </c>
      <c r="C22" s="21" t="s">
        <v>32</v>
      </c>
      <c r="D22" s="7" t="s">
        <v>165</v>
      </c>
      <c r="E22" s="6" t="s">
        <v>174</v>
      </c>
      <c r="F22" s="6" t="s">
        <v>175</v>
      </c>
      <c r="G22" s="6" t="s">
        <v>176</v>
      </c>
      <c r="H22" s="22"/>
      <c r="I22" s="23"/>
      <c r="J22" s="23"/>
    </row>
    <row r="23" customFormat="false" ht="60" hidden="false" customHeight="true" outlineLevel="0" collapsed="false">
      <c r="A23" s="20" t="s">
        <v>177</v>
      </c>
      <c r="B23" s="7" t="s">
        <v>37</v>
      </c>
      <c r="C23" s="24" t="s">
        <v>36</v>
      </c>
      <c r="D23" s="7" t="s">
        <v>17</v>
      </c>
      <c r="E23" s="6" t="s">
        <v>178</v>
      </c>
      <c r="F23" s="6" t="s">
        <v>179</v>
      </c>
      <c r="G23" s="6" t="s">
        <v>180</v>
      </c>
      <c r="H23" s="22"/>
      <c r="I23" s="23"/>
      <c r="J23" s="23"/>
    </row>
    <row r="24" customFormat="false" ht="60" hidden="false" customHeight="true" outlineLevel="0" collapsed="false">
      <c r="A24" s="20" t="s">
        <v>181</v>
      </c>
      <c r="B24" s="7" t="s">
        <v>39</v>
      </c>
      <c r="C24" s="21" t="s">
        <v>32</v>
      </c>
      <c r="D24" s="7" t="s">
        <v>182</v>
      </c>
      <c r="E24" s="6" t="s">
        <v>183</v>
      </c>
      <c r="F24" s="6" t="s">
        <v>184</v>
      </c>
      <c r="G24" s="6" t="s">
        <v>185</v>
      </c>
      <c r="H24" s="22"/>
      <c r="I24" s="23"/>
      <c r="J24" s="23"/>
    </row>
    <row r="25" customFormat="false" ht="60" hidden="false" customHeight="true" outlineLevel="0" collapsed="false">
      <c r="A25" s="20" t="s">
        <v>186</v>
      </c>
      <c r="B25" s="7" t="s">
        <v>39</v>
      </c>
      <c r="C25" s="21" t="s">
        <v>32</v>
      </c>
      <c r="D25" s="7" t="s">
        <v>182</v>
      </c>
      <c r="E25" s="6" t="s">
        <v>187</v>
      </c>
      <c r="F25" s="6" t="s">
        <v>188</v>
      </c>
      <c r="G25" s="6" t="s">
        <v>189</v>
      </c>
      <c r="H25" s="22"/>
      <c r="I25" s="23"/>
      <c r="J25" s="23"/>
    </row>
    <row r="26" customFormat="false" ht="60" hidden="false" customHeight="true" outlineLevel="0" collapsed="false">
      <c r="A26" s="20" t="s">
        <v>190</v>
      </c>
      <c r="B26" s="7" t="s">
        <v>39</v>
      </c>
      <c r="C26" s="24" t="s">
        <v>36</v>
      </c>
      <c r="D26" s="7" t="s">
        <v>191</v>
      </c>
      <c r="E26" s="6" t="s">
        <v>192</v>
      </c>
      <c r="F26" s="6" t="s">
        <v>193</v>
      </c>
      <c r="G26" s="6" t="s">
        <v>194</v>
      </c>
      <c r="H26" s="22"/>
      <c r="I26" s="23"/>
      <c r="J26" s="23"/>
    </row>
    <row r="27" customFormat="false" ht="60" hidden="false" customHeight="true" outlineLevel="0" collapsed="false">
      <c r="A27" s="20" t="s">
        <v>195</v>
      </c>
      <c r="B27" s="7" t="s">
        <v>39</v>
      </c>
      <c r="C27" s="21" t="s">
        <v>32</v>
      </c>
      <c r="D27" s="7" t="s">
        <v>182</v>
      </c>
      <c r="E27" s="6" t="s">
        <v>196</v>
      </c>
      <c r="F27" s="6" t="s">
        <v>197</v>
      </c>
      <c r="G27" s="6" t="s">
        <v>198</v>
      </c>
      <c r="H27" s="22"/>
      <c r="I27" s="23"/>
      <c r="J27" s="23"/>
    </row>
    <row r="28" customFormat="false" ht="60" hidden="false" customHeight="true" outlineLevel="0" collapsed="false">
      <c r="A28" s="20" t="s">
        <v>199</v>
      </c>
      <c r="B28" s="7" t="s">
        <v>39</v>
      </c>
      <c r="C28" s="21" t="s">
        <v>32</v>
      </c>
      <c r="D28" s="7" t="s">
        <v>182</v>
      </c>
      <c r="E28" s="6" t="s">
        <v>200</v>
      </c>
      <c r="F28" s="6" t="s">
        <v>201</v>
      </c>
      <c r="G28" s="6" t="s">
        <v>202</v>
      </c>
      <c r="H28" s="22"/>
      <c r="I28" s="23"/>
      <c r="J28" s="23"/>
    </row>
    <row r="29" customFormat="false" ht="60" hidden="false" customHeight="true" outlineLevel="0" collapsed="false">
      <c r="A29" s="20" t="s">
        <v>203</v>
      </c>
      <c r="B29" s="7" t="s">
        <v>39</v>
      </c>
      <c r="C29" s="24" t="s">
        <v>36</v>
      </c>
      <c r="D29" s="7" t="s">
        <v>204</v>
      </c>
      <c r="E29" s="6" t="s">
        <v>205</v>
      </c>
      <c r="F29" s="6" t="s">
        <v>206</v>
      </c>
      <c r="G29" s="6" t="s">
        <v>207</v>
      </c>
      <c r="H29" s="22"/>
      <c r="I29" s="23"/>
      <c r="J29" s="23"/>
    </row>
    <row r="30" customFormat="false" ht="60" hidden="false" customHeight="true" outlineLevel="0" collapsed="false">
      <c r="A30" s="20" t="s">
        <v>208</v>
      </c>
      <c r="B30" s="7" t="s">
        <v>39</v>
      </c>
      <c r="C30" s="21" t="s">
        <v>32</v>
      </c>
      <c r="D30" s="7" t="s">
        <v>209</v>
      </c>
      <c r="E30" s="6" t="s">
        <v>210</v>
      </c>
      <c r="F30" s="6" t="s">
        <v>211</v>
      </c>
      <c r="G30" s="6" t="s">
        <v>212</v>
      </c>
      <c r="H30" s="22"/>
      <c r="I30" s="23"/>
      <c r="J30" s="23"/>
    </row>
    <row r="31" customFormat="false" ht="60" hidden="false" customHeight="true" outlineLevel="0" collapsed="false">
      <c r="A31" s="20" t="s">
        <v>213</v>
      </c>
      <c r="B31" s="7" t="s">
        <v>39</v>
      </c>
      <c r="C31" s="24" t="s">
        <v>36</v>
      </c>
      <c r="D31" s="7" t="s">
        <v>209</v>
      </c>
      <c r="E31" s="6" t="s">
        <v>214</v>
      </c>
      <c r="F31" s="6" t="s">
        <v>215</v>
      </c>
      <c r="G31" s="6" t="s">
        <v>216</v>
      </c>
      <c r="H31" s="22"/>
      <c r="I31" s="23"/>
      <c r="J31" s="23"/>
    </row>
    <row r="32" customFormat="false" ht="60" hidden="false" customHeight="true" outlineLevel="0" collapsed="false">
      <c r="A32" s="20" t="s">
        <v>217</v>
      </c>
      <c r="B32" s="7" t="s">
        <v>39</v>
      </c>
      <c r="C32" s="24" t="s">
        <v>36</v>
      </c>
      <c r="D32" s="7" t="s">
        <v>218</v>
      </c>
      <c r="E32" s="6" t="s">
        <v>219</v>
      </c>
      <c r="F32" s="6" t="s">
        <v>220</v>
      </c>
      <c r="G32" s="6" t="s">
        <v>221</v>
      </c>
      <c r="H32" s="22"/>
      <c r="I32" s="23"/>
      <c r="J32" s="23"/>
    </row>
    <row r="33" customFormat="false" ht="60" hidden="false" customHeight="true" outlineLevel="0" collapsed="false">
      <c r="A33" s="20" t="s">
        <v>222</v>
      </c>
      <c r="B33" s="7" t="s">
        <v>39</v>
      </c>
      <c r="C33" s="24" t="s">
        <v>36</v>
      </c>
      <c r="D33" s="7" t="s">
        <v>218</v>
      </c>
      <c r="E33" s="6" t="s">
        <v>223</v>
      </c>
      <c r="F33" s="6" t="s">
        <v>220</v>
      </c>
      <c r="G33" s="6" t="s">
        <v>224</v>
      </c>
      <c r="H33" s="22"/>
      <c r="I33" s="23"/>
      <c r="J33" s="23"/>
    </row>
    <row r="34" customFormat="false" ht="60" hidden="false" customHeight="true" outlineLevel="0" collapsed="false">
      <c r="A34" s="20" t="s">
        <v>225</v>
      </c>
      <c r="B34" s="7" t="s">
        <v>39</v>
      </c>
      <c r="C34" s="25" t="s">
        <v>63</v>
      </c>
      <c r="D34" s="7" t="s">
        <v>95</v>
      </c>
      <c r="E34" s="6" t="s">
        <v>226</v>
      </c>
      <c r="F34" s="6" t="s">
        <v>227</v>
      </c>
      <c r="G34" s="6" t="s">
        <v>228</v>
      </c>
      <c r="H34" s="22"/>
      <c r="I34" s="23"/>
      <c r="J34" s="23"/>
    </row>
    <row r="35" customFormat="false" ht="60" hidden="false" customHeight="true" outlineLevel="0" collapsed="false">
      <c r="A35" s="20" t="s">
        <v>229</v>
      </c>
      <c r="B35" s="7" t="s">
        <v>39</v>
      </c>
      <c r="C35" s="21" t="s">
        <v>32</v>
      </c>
      <c r="D35" s="7" t="s">
        <v>230</v>
      </c>
      <c r="E35" s="6" t="s">
        <v>231</v>
      </c>
      <c r="F35" s="6" t="s">
        <v>232</v>
      </c>
      <c r="G35" s="6" t="s">
        <v>233</v>
      </c>
      <c r="H35" s="22"/>
      <c r="I35" s="23"/>
      <c r="J35" s="23"/>
    </row>
    <row r="36" customFormat="false" ht="60" hidden="false" customHeight="true" outlineLevel="0" collapsed="false">
      <c r="A36" s="20" t="s">
        <v>234</v>
      </c>
      <c r="B36" s="7" t="s">
        <v>41</v>
      </c>
      <c r="C36" s="24" t="s">
        <v>36</v>
      </c>
      <c r="D36" s="7" t="s">
        <v>105</v>
      </c>
      <c r="E36" s="6" t="s">
        <v>235</v>
      </c>
      <c r="F36" s="6" t="s">
        <v>236</v>
      </c>
      <c r="G36" s="6" t="s">
        <v>237</v>
      </c>
      <c r="H36" s="22"/>
      <c r="I36" s="23"/>
      <c r="J36" s="23"/>
    </row>
    <row r="37" customFormat="false" ht="60" hidden="false" customHeight="true" outlineLevel="0" collapsed="false">
      <c r="A37" s="20" t="s">
        <v>238</v>
      </c>
      <c r="B37" s="7" t="s">
        <v>41</v>
      </c>
      <c r="C37" s="24" t="s">
        <v>36</v>
      </c>
      <c r="D37" s="7" t="s">
        <v>105</v>
      </c>
      <c r="E37" s="6" t="s">
        <v>187</v>
      </c>
      <c r="F37" s="6" t="s">
        <v>239</v>
      </c>
      <c r="G37" s="6" t="s">
        <v>240</v>
      </c>
      <c r="H37" s="22"/>
      <c r="I37" s="23"/>
      <c r="J37" s="23"/>
    </row>
    <row r="38" customFormat="false" ht="60" hidden="false" customHeight="true" outlineLevel="0" collapsed="false">
      <c r="A38" s="20" t="s">
        <v>241</v>
      </c>
      <c r="B38" s="7" t="s">
        <v>41</v>
      </c>
      <c r="C38" s="24" t="s">
        <v>36</v>
      </c>
      <c r="D38" s="7" t="s">
        <v>105</v>
      </c>
      <c r="E38" s="6" t="s">
        <v>187</v>
      </c>
      <c r="F38" s="6" t="s">
        <v>242</v>
      </c>
      <c r="G38" s="6" t="s">
        <v>240</v>
      </c>
      <c r="H38" s="22"/>
      <c r="I38" s="23"/>
      <c r="J38" s="23"/>
    </row>
    <row r="39" customFormat="false" ht="60" hidden="false" customHeight="true" outlineLevel="0" collapsed="false">
      <c r="A39" s="20" t="s">
        <v>243</v>
      </c>
      <c r="B39" s="7" t="s">
        <v>41</v>
      </c>
      <c r="C39" s="21" t="s">
        <v>32</v>
      </c>
      <c r="D39" s="7" t="s">
        <v>244</v>
      </c>
      <c r="E39" s="6" t="s">
        <v>187</v>
      </c>
      <c r="F39" s="6" t="s">
        <v>245</v>
      </c>
      <c r="G39" s="6" t="s">
        <v>246</v>
      </c>
      <c r="H39" s="22"/>
      <c r="I39" s="23"/>
      <c r="J39" s="23"/>
    </row>
    <row r="40" customFormat="false" ht="60" hidden="false" customHeight="true" outlineLevel="0" collapsed="false">
      <c r="A40" s="20" t="s">
        <v>247</v>
      </c>
      <c r="B40" s="7" t="s">
        <v>43</v>
      </c>
      <c r="C40" s="21" t="s">
        <v>32</v>
      </c>
      <c r="D40" s="7" t="s">
        <v>100</v>
      </c>
      <c r="E40" s="6" t="s">
        <v>248</v>
      </c>
      <c r="F40" s="6" t="s">
        <v>249</v>
      </c>
      <c r="G40" s="6" t="s">
        <v>250</v>
      </c>
      <c r="H40" s="22"/>
      <c r="I40" s="23"/>
      <c r="J40" s="23"/>
    </row>
    <row r="41" customFormat="false" ht="60" hidden="false" customHeight="true" outlineLevel="0" collapsed="false">
      <c r="A41" s="20" t="s">
        <v>251</v>
      </c>
      <c r="B41" s="7" t="s">
        <v>43</v>
      </c>
      <c r="C41" s="21" t="s">
        <v>32</v>
      </c>
      <c r="D41" s="7" t="s">
        <v>100</v>
      </c>
      <c r="E41" s="6" t="s">
        <v>187</v>
      </c>
      <c r="F41" s="6" t="s">
        <v>252</v>
      </c>
      <c r="G41" s="6" t="s">
        <v>253</v>
      </c>
      <c r="H41" s="22"/>
      <c r="I41" s="23"/>
      <c r="J41" s="23"/>
    </row>
    <row r="42" customFormat="false" ht="60" hidden="false" customHeight="true" outlineLevel="0" collapsed="false">
      <c r="A42" s="20" t="s">
        <v>254</v>
      </c>
      <c r="B42" s="7" t="s">
        <v>43</v>
      </c>
      <c r="C42" s="21" t="s">
        <v>32</v>
      </c>
      <c r="D42" s="7" t="s">
        <v>100</v>
      </c>
      <c r="E42" s="6" t="s">
        <v>187</v>
      </c>
      <c r="F42" s="6" t="s">
        <v>255</v>
      </c>
      <c r="G42" s="6" t="s">
        <v>256</v>
      </c>
      <c r="H42" s="22"/>
      <c r="I42" s="23"/>
      <c r="J42" s="23"/>
    </row>
    <row r="43" customFormat="false" ht="60" hidden="false" customHeight="true" outlineLevel="0" collapsed="false">
      <c r="A43" s="20" t="s">
        <v>257</v>
      </c>
      <c r="B43" s="7" t="s">
        <v>43</v>
      </c>
      <c r="C43" s="21" t="s">
        <v>32</v>
      </c>
      <c r="D43" s="7" t="s">
        <v>105</v>
      </c>
      <c r="E43" s="6" t="s">
        <v>187</v>
      </c>
      <c r="F43" s="6" t="s">
        <v>258</v>
      </c>
      <c r="G43" s="6" t="s">
        <v>259</v>
      </c>
      <c r="H43" s="22"/>
      <c r="I43" s="23"/>
      <c r="J43" s="23"/>
    </row>
    <row r="44" customFormat="false" ht="60" hidden="false" customHeight="true" outlineLevel="0" collapsed="false">
      <c r="A44" s="20" t="s">
        <v>260</v>
      </c>
      <c r="B44" s="7" t="s">
        <v>43</v>
      </c>
      <c r="C44" s="21" t="s">
        <v>32</v>
      </c>
      <c r="D44" s="7" t="s">
        <v>100</v>
      </c>
      <c r="E44" s="6" t="s">
        <v>261</v>
      </c>
      <c r="F44" s="6" t="s">
        <v>262</v>
      </c>
      <c r="G44" s="6" t="s">
        <v>263</v>
      </c>
      <c r="H44" s="22"/>
      <c r="I44" s="23"/>
      <c r="J44" s="23"/>
    </row>
    <row r="45" customFormat="false" ht="60" hidden="false" customHeight="true" outlineLevel="0" collapsed="false">
      <c r="A45" s="20" t="s">
        <v>264</v>
      </c>
      <c r="B45" s="7" t="s">
        <v>43</v>
      </c>
      <c r="C45" s="24" t="s">
        <v>36</v>
      </c>
      <c r="D45" s="7" t="s">
        <v>204</v>
      </c>
      <c r="E45" s="6" t="s">
        <v>265</v>
      </c>
      <c r="F45" s="6" t="s">
        <v>266</v>
      </c>
      <c r="G45" s="6" t="s">
        <v>267</v>
      </c>
      <c r="H45" s="22"/>
      <c r="I45" s="23"/>
      <c r="J45" s="23"/>
    </row>
    <row r="46" customFormat="false" ht="60" hidden="false" customHeight="true" outlineLevel="0" collapsed="false">
      <c r="A46" s="20" t="s">
        <v>268</v>
      </c>
      <c r="B46" s="7" t="s">
        <v>45</v>
      </c>
      <c r="C46" s="21" t="s">
        <v>32</v>
      </c>
      <c r="D46" s="7" t="s">
        <v>86</v>
      </c>
      <c r="E46" s="6" t="s">
        <v>269</v>
      </c>
      <c r="F46" s="6" t="s">
        <v>270</v>
      </c>
      <c r="G46" s="6" t="s">
        <v>271</v>
      </c>
      <c r="H46" s="22"/>
      <c r="I46" s="23"/>
      <c r="J46" s="23"/>
    </row>
    <row r="47" customFormat="false" ht="60" hidden="false" customHeight="true" outlineLevel="0" collapsed="false">
      <c r="A47" s="20" t="s">
        <v>272</v>
      </c>
      <c r="B47" s="7" t="s">
        <v>45</v>
      </c>
      <c r="C47" s="21" t="s">
        <v>32</v>
      </c>
      <c r="D47" s="7" t="s">
        <v>86</v>
      </c>
      <c r="E47" s="6" t="s">
        <v>187</v>
      </c>
      <c r="F47" s="6" t="s">
        <v>273</v>
      </c>
      <c r="G47" s="6" t="s">
        <v>274</v>
      </c>
      <c r="H47" s="22"/>
      <c r="I47" s="23"/>
      <c r="J47" s="23"/>
    </row>
    <row r="48" customFormat="false" ht="60" hidden="false" customHeight="true" outlineLevel="0" collapsed="false">
      <c r="A48" s="20" t="s">
        <v>275</v>
      </c>
      <c r="B48" s="7" t="s">
        <v>45</v>
      </c>
      <c r="C48" s="21" t="s">
        <v>32</v>
      </c>
      <c r="D48" s="7" t="s">
        <v>276</v>
      </c>
      <c r="E48" s="6" t="s">
        <v>187</v>
      </c>
      <c r="F48" s="6" t="s">
        <v>277</v>
      </c>
      <c r="G48" s="6" t="s">
        <v>278</v>
      </c>
      <c r="H48" s="22"/>
      <c r="I48" s="23"/>
      <c r="J48" s="23"/>
    </row>
    <row r="49" customFormat="false" ht="60" hidden="false" customHeight="true" outlineLevel="0" collapsed="false">
      <c r="A49" s="20" t="s">
        <v>279</v>
      </c>
      <c r="B49" s="7" t="s">
        <v>45</v>
      </c>
      <c r="C49" s="21" t="s">
        <v>32</v>
      </c>
      <c r="D49" s="7" t="s">
        <v>280</v>
      </c>
      <c r="E49" s="6" t="s">
        <v>187</v>
      </c>
      <c r="F49" s="6" t="s">
        <v>281</v>
      </c>
      <c r="G49" s="6" t="s">
        <v>282</v>
      </c>
      <c r="H49" s="22"/>
      <c r="I49" s="23"/>
      <c r="J49" s="23"/>
    </row>
    <row r="50" customFormat="false" ht="60" hidden="false" customHeight="true" outlineLevel="0" collapsed="false">
      <c r="A50" s="20" t="s">
        <v>283</v>
      </c>
      <c r="B50" s="7" t="s">
        <v>45</v>
      </c>
      <c r="C50" s="21" t="s">
        <v>32</v>
      </c>
      <c r="D50" s="7" t="s">
        <v>284</v>
      </c>
      <c r="E50" s="6" t="s">
        <v>285</v>
      </c>
      <c r="F50" s="6" t="s">
        <v>286</v>
      </c>
      <c r="G50" s="6" t="s">
        <v>287</v>
      </c>
      <c r="H50" s="22"/>
      <c r="I50" s="23"/>
      <c r="J50" s="23"/>
    </row>
    <row r="51" customFormat="false" ht="60" hidden="false" customHeight="true" outlineLevel="0" collapsed="false">
      <c r="A51" s="20" t="s">
        <v>288</v>
      </c>
      <c r="B51" s="7" t="s">
        <v>45</v>
      </c>
      <c r="C51" s="24" t="s">
        <v>36</v>
      </c>
      <c r="D51" s="7" t="s">
        <v>289</v>
      </c>
      <c r="E51" s="6" t="s">
        <v>290</v>
      </c>
      <c r="F51" s="6" t="s">
        <v>291</v>
      </c>
      <c r="G51" s="6" t="s">
        <v>292</v>
      </c>
      <c r="H51" s="22"/>
      <c r="I51" s="23"/>
      <c r="J51" s="23"/>
    </row>
    <row r="52" customFormat="false" ht="60" hidden="false" customHeight="true" outlineLevel="0" collapsed="false">
      <c r="A52" s="20" t="s">
        <v>293</v>
      </c>
      <c r="B52" s="7" t="s">
        <v>45</v>
      </c>
      <c r="C52" s="21" t="s">
        <v>32</v>
      </c>
      <c r="D52" s="7" t="s">
        <v>294</v>
      </c>
      <c r="E52" s="6" t="s">
        <v>290</v>
      </c>
      <c r="F52" s="6" t="s">
        <v>295</v>
      </c>
      <c r="G52" s="6" t="s">
        <v>296</v>
      </c>
      <c r="H52" s="22"/>
      <c r="I52" s="23"/>
      <c r="J52" s="23"/>
    </row>
    <row r="53" customFormat="false" ht="60" hidden="false" customHeight="true" outlineLevel="0" collapsed="false">
      <c r="A53" s="20" t="s">
        <v>297</v>
      </c>
      <c r="B53" s="7" t="s">
        <v>45</v>
      </c>
      <c r="C53" s="21" t="s">
        <v>32</v>
      </c>
      <c r="D53" s="7" t="s">
        <v>298</v>
      </c>
      <c r="E53" s="6" t="s">
        <v>299</v>
      </c>
      <c r="F53" s="6" t="s">
        <v>300</v>
      </c>
      <c r="G53" s="6" t="s">
        <v>301</v>
      </c>
      <c r="H53" s="22"/>
      <c r="I53" s="23"/>
      <c r="J53" s="23"/>
    </row>
    <row r="54" customFormat="false" ht="60" hidden="false" customHeight="true" outlineLevel="0" collapsed="false">
      <c r="A54" s="20" t="s">
        <v>302</v>
      </c>
      <c r="B54" s="7" t="s">
        <v>45</v>
      </c>
      <c r="C54" s="21" t="s">
        <v>32</v>
      </c>
      <c r="D54" s="7" t="s">
        <v>303</v>
      </c>
      <c r="E54" s="6" t="s">
        <v>304</v>
      </c>
      <c r="F54" s="6" t="s">
        <v>305</v>
      </c>
      <c r="G54" s="6" t="s">
        <v>306</v>
      </c>
      <c r="H54" s="22"/>
      <c r="I54" s="23"/>
      <c r="J54" s="23"/>
    </row>
    <row r="55" customFormat="false" ht="60" hidden="false" customHeight="true" outlineLevel="0" collapsed="false">
      <c r="A55" s="20" t="s">
        <v>307</v>
      </c>
      <c r="B55" s="7" t="s">
        <v>45</v>
      </c>
      <c r="C55" s="21" t="s">
        <v>32</v>
      </c>
      <c r="D55" s="7" t="s">
        <v>308</v>
      </c>
      <c r="E55" s="6" t="s">
        <v>309</v>
      </c>
      <c r="F55" s="6" t="s">
        <v>310</v>
      </c>
      <c r="G55" s="6" t="s">
        <v>311</v>
      </c>
      <c r="H55" s="22"/>
      <c r="I55" s="23"/>
      <c r="J55" s="23"/>
    </row>
    <row r="56" customFormat="false" ht="60" hidden="false" customHeight="true" outlineLevel="0" collapsed="false">
      <c r="A56" s="20" t="s">
        <v>312</v>
      </c>
      <c r="B56" s="7" t="s">
        <v>45</v>
      </c>
      <c r="C56" s="21" t="s">
        <v>32</v>
      </c>
      <c r="D56" s="7" t="s">
        <v>308</v>
      </c>
      <c r="E56" s="6" t="s">
        <v>187</v>
      </c>
      <c r="F56" s="6" t="s">
        <v>313</v>
      </c>
      <c r="G56" s="6" t="s">
        <v>314</v>
      </c>
      <c r="H56" s="22"/>
      <c r="I56" s="23"/>
      <c r="J56" s="23"/>
    </row>
    <row r="57" customFormat="false" ht="60" hidden="false" customHeight="true" outlineLevel="0" collapsed="false">
      <c r="A57" s="20" t="s">
        <v>315</v>
      </c>
      <c r="B57" s="7" t="s">
        <v>45</v>
      </c>
      <c r="C57" s="21" t="s">
        <v>32</v>
      </c>
      <c r="D57" s="7" t="s">
        <v>316</v>
      </c>
      <c r="E57" s="6" t="s">
        <v>317</v>
      </c>
      <c r="F57" s="6" t="s">
        <v>318</v>
      </c>
      <c r="G57" s="6" t="s">
        <v>319</v>
      </c>
      <c r="H57" s="22"/>
      <c r="I57" s="23"/>
      <c r="J57" s="23"/>
    </row>
    <row r="58" customFormat="false" ht="60" hidden="false" customHeight="true" outlineLevel="0" collapsed="false">
      <c r="A58" s="20" t="s">
        <v>320</v>
      </c>
      <c r="B58" s="7" t="s">
        <v>45</v>
      </c>
      <c r="C58" s="24" t="s">
        <v>36</v>
      </c>
      <c r="D58" s="7" t="s">
        <v>321</v>
      </c>
      <c r="E58" s="6" t="s">
        <v>322</v>
      </c>
      <c r="F58" s="6" t="s">
        <v>323</v>
      </c>
      <c r="G58" s="6" t="s">
        <v>324</v>
      </c>
      <c r="H58" s="22"/>
      <c r="I58" s="23"/>
      <c r="J58" s="23"/>
    </row>
    <row r="59" customFormat="false" ht="60" hidden="false" customHeight="true" outlineLevel="0" collapsed="false">
      <c r="A59" s="20" t="s">
        <v>325</v>
      </c>
      <c r="B59" s="7" t="s">
        <v>45</v>
      </c>
      <c r="C59" s="25" t="s">
        <v>63</v>
      </c>
      <c r="D59" s="7" t="s">
        <v>326</v>
      </c>
      <c r="E59" s="6" t="s">
        <v>327</v>
      </c>
      <c r="F59" s="6" t="s">
        <v>328</v>
      </c>
      <c r="G59" s="6" t="s">
        <v>329</v>
      </c>
      <c r="H59" s="22"/>
      <c r="I59" s="23"/>
      <c r="J59" s="23"/>
    </row>
    <row r="60" customFormat="false" ht="60" hidden="false" customHeight="true" outlineLevel="0" collapsed="false">
      <c r="A60" s="20" t="s">
        <v>330</v>
      </c>
      <c r="B60" s="7" t="s">
        <v>47</v>
      </c>
      <c r="C60" s="21" t="s">
        <v>32</v>
      </c>
      <c r="D60" s="7" t="s">
        <v>95</v>
      </c>
      <c r="E60" s="6" t="s">
        <v>96</v>
      </c>
      <c r="F60" s="6" t="s">
        <v>331</v>
      </c>
      <c r="G60" s="6" t="s">
        <v>332</v>
      </c>
      <c r="H60" s="22"/>
      <c r="I60" s="23"/>
      <c r="J60" s="23"/>
    </row>
    <row r="61" customFormat="false" ht="60" hidden="false" customHeight="true" outlineLevel="0" collapsed="false">
      <c r="A61" s="20" t="s">
        <v>333</v>
      </c>
      <c r="B61" s="7" t="s">
        <v>47</v>
      </c>
      <c r="C61" s="21" t="s">
        <v>32</v>
      </c>
      <c r="D61" s="7" t="s">
        <v>95</v>
      </c>
      <c r="E61" s="6" t="s">
        <v>187</v>
      </c>
      <c r="F61" s="6" t="s">
        <v>334</v>
      </c>
      <c r="G61" s="6" t="s">
        <v>335</v>
      </c>
      <c r="H61" s="22"/>
      <c r="I61" s="23"/>
      <c r="J61" s="23"/>
    </row>
    <row r="62" customFormat="false" ht="60" hidden="false" customHeight="true" outlineLevel="0" collapsed="false">
      <c r="A62" s="20" t="s">
        <v>336</v>
      </c>
      <c r="B62" s="7" t="s">
        <v>47</v>
      </c>
      <c r="C62" s="21" t="s">
        <v>32</v>
      </c>
      <c r="D62" s="7" t="s">
        <v>95</v>
      </c>
      <c r="E62" s="6" t="s">
        <v>337</v>
      </c>
      <c r="F62" s="6" t="s">
        <v>338</v>
      </c>
      <c r="G62" s="6" t="s">
        <v>339</v>
      </c>
      <c r="H62" s="22"/>
      <c r="I62" s="23"/>
      <c r="J62" s="23"/>
    </row>
    <row r="63" customFormat="false" ht="60" hidden="false" customHeight="true" outlineLevel="0" collapsed="false">
      <c r="A63" s="20" t="s">
        <v>340</v>
      </c>
      <c r="B63" s="7" t="s">
        <v>47</v>
      </c>
      <c r="C63" s="21" t="s">
        <v>32</v>
      </c>
      <c r="D63" s="7" t="s">
        <v>209</v>
      </c>
      <c r="E63" s="6" t="s">
        <v>341</v>
      </c>
      <c r="F63" s="6" t="s">
        <v>342</v>
      </c>
      <c r="G63" s="6" t="s">
        <v>343</v>
      </c>
      <c r="H63" s="22"/>
      <c r="I63" s="23"/>
      <c r="J63" s="23"/>
    </row>
    <row r="64" customFormat="false" ht="60" hidden="false" customHeight="true" outlineLevel="0" collapsed="false">
      <c r="A64" s="20" t="s">
        <v>344</v>
      </c>
      <c r="B64" s="7" t="s">
        <v>47</v>
      </c>
      <c r="C64" s="24" t="s">
        <v>36</v>
      </c>
      <c r="D64" s="7" t="s">
        <v>345</v>
      </c>
      <c r="E64" s="6" t="s">
        <v>346</v>
      </c>
      <c r="F64" s="6" t="s">
        <v>347</v>
      </c>
      <c r="G64" s="6" t="s">
        <v>348</v>
      </c>
      <c r="H64" s="22"/>
      <c r="I64" s="23"/>
      <c r="J64" s="23"/>
    </row>
    <row r="65" customFormat="false" ht="60" hidden="false" customHeight="true" outlineLevel="0" collapsed="false">
      <c r="A65" s="20" t="s">
        <v>349</v>
      </c>
      <c r="B65" s="7" t="s">
        <v>49</v>
      </c>
      <c r="C65" s="24" t="s">
        <v>36</v>
      </c>
      <c r="D65" s="7" t="s">
        <v>142</v>
      </c>
      <c r="E65" s="6" t="s">
        <v>350</v>
      </c>
      <c r="F65" s="6" t="s">
        <v>351</v>
      </c>
      <c r="G65" s="6" t="s">
        <v>352</v>
      </c>
      <c r="H65" s="22"/>
      <c r="I65" s="23"/>
      <c r="J65" s="23"/>
    </row>
    <row r="66" customFormat="false" ht="60" hidden="false" customHeight="true" outlineLevel="0" collapsed="false">
      <c r="A66" s="20" t="s">
        <v>353</v>
      </c>
      <c r="B66" s="7" t="s">
        <v>49</v>
      </c>
      <c r="C66" s="24" t="s">
        <v>36</v>
      </c>
      <c r="D66" s="7" t="s">
        <v>142</v>
      </c>
      <c r="E66" s="6" t="s">
        <v>187</v>
      </c>
      <c r="F66" s="6" t="s">
        <v>354</v>
      </c>
      <c r="G66" s="6" t="s">
        <v>355</v>
      </c>
      <c r="H66" s="22"/>
      <c r="I66" s="23"/>
      <c r="J66" s="23"/>
    </row>
    <row r="67" customFormat="false" ht="60" hidden="false" customHeight="true" outlineLevel="0" collapsed="false">
      <c r="A67" s="20" t="s">
        <v>356</v>
      </c>
      <c r="B67" s="7" t="s">
        <v>49</v>
      </c>
      <c r="C67" s="24" t="s">
        <v>36</v>
      </c>
      <c r="D67" s="7" t="s">
        <v>142</v>
      </c>
      <c r="E67" s="6" t="s">
        <v>357</v>
      </c>
      <c r="F67" s="6" t="s">
        <v>358</v>
      </c>
      <c r="G67" s="6" t="s">
        <v>359</v>
      </c>
      <c r="H67" s="22"/>
      <c r="I67" s="23"/>
      <c r="J67" s="23"/>
    </row>
    <row r="68" customFormat="false" ht="60" hidden="false" customHeight="true" outlineLevel="0" collapsed="false">
      <c r="A68" s="20" t="s">
        <v>360</v>
      </c>
      <c r="B68" s="7" t="s">
        <v>49</v>
      </c>
      <c r="C68" s="24" t="s">
        <v>36</v>
      </c>
      <c r="D68" s="7" t="s">
        <v>142</v>
      </c>
      <c r="E68" s="6" t="s">
        <v>361</v>
      </c>
      <c r="F68" s="6" t="s">
        <v>362</v>
      </c>
      <c r="G68" s="6" t="s">
        <v>363</v>
      </c>
      <c r="H68" s="22"/>
      <c r="I68" s="23"/>
      <c r="J68" s="23"/>
    </row>
    <row r="69" customFormat="false" ht="60" hidden="false" customHeight="true" outlineLevel="0" collapsed="false">
      <c r="A69" s="20" t="s">
        <v>364</v>
      </c>
      <c r="B69" s="7" t="s">
        <v>49</v>
      </c>
      <c r="C69" s="24" t="s">
        <v>36</v>
      </c>
      <c r="D69" s="7" t="s">
        <v>142</v>
      </c>
      <c r="E69" s="6" t="s">
        <v>365</v>
      </c>
      <c r="F69" s="6" t="s">
        <v>366</v>
      </c>
      <c r="G69" s="6" t="s">
        <v>367</v>
      </c>
      <c r="H69" s="22"/>
      <c r="I69" s="23"/>
      <c r="J69" s="23"/>
    </row>
    <row r="70" customFormat="false" ht="60" hidden="false" customHeight="true" outlineLevel="0" collapsed="false">
      <c r="A70" s="20" t="s">
        <v>368</v>
      </c>
      <c r="B70" s="7" t="s">
        <v>49</v>
      </c>
      <c r="C70" s="21" t="s">
        <v>32</v>
      </c>
      <c r="D70" s="7" t="s">
        <v>369</v>
      </c>
      <c r="E70" s="6" t="s">
        <v>370</v>
      </c>
      <c r="F70" s="6" t="s">
        <v>371</v>
      </c>
      <c r="G70" s="6" t="s">
        <v>372</v>
      </c>
      <c r="H70" s="22"/>
      <c r="I70" s="23"/>
      <c r="J70" s="23"/>
    </row>
    <row r="71" customFormat="false" ht="60" hidden="false" customHeight="true" outlineLevel="0" collapsed="false">
      <c r="A71" s="20" t="s">
        <v>373</v>
      </c>
      <c r="B71" s="7" t="s">
        <v>49</v>
      </c>
      <c r="C71" s="25" t="s">
        <v>63</v>
      </c>
      <c r="D71" s="7" t="s">
        <v>374</v>
      </c>
      <c r="E71" s="6" t="s">
        <v>375</v>
      </c>
      <c r="F71" s="6" t="s">
        <v>376</v>
      </c>
      <c r="G71" s="6" t="s">
        <v>377</v>
      </c>
      <c r="H71" s="22"/>
      <c r="I71" s="23"/>
      <c r="J71" s="23"/>
    </row>
    <row r="72" customFormat="false" ht="60" hidden="false" customHeight="true" outlineLevel="0" collapsed="false">
      <c r="A72" s="20" t="s">
        <v>378</v>
      </c>
      <c r="B72" s="7" t="s">
        <v>51</v>
      </c>
      <c r="C72" s="24" t="s">
        <v>36</v>
      </c>
      <c r="D72" s="7" t="s">
        <v>100</v>
      </c>
      <c r="E72" s="6" t="s">
        <v>379</v>
      </c>
      <c r="F72" s="6" t="s">
        <v>380</v>
      </c>
      <c r="G72" s="6" t="s">
        <v>381</v>
      </c>
      <c r="H72" s="22"/>
      <c r="I72" s="23"/>
      <c r="J72" s="23"/>
    </row>
    <row r="73" customFormat="false" ht="60" hidden="false" customHeight="true" outlineLevel="0" collapsed="false">
      <c r="A73" s="20" t="s">
        <v>382</v>
      </c>
      <c r="B73" s="7" t="s">
        <v>51</v>
      </c>
      <c r="C73" s="24" t="s">
        <v>36</v>
      </c>
      <c r="D73" s="7" t="s">
        <v>105</v>
      </c>
      <c r="E73" s="6" t="s">
        <v>383</v>
      </c>
      <c r="F73" s="6" t="s">
        <v>384</v>
      </c>
      <c r="G73" s="6" t="s">
        <v>385</v>
      </c>
      <c r="H73" s="22"/>
      <c r="I73" s="23"/>
      <c r="J73" s="23"/>
    </row>
    <row r="74" customFormat="false" ht="60" hidden="false" customHeight="true" outlineLevel="0" collapsed="false">
      <c r="A74" s="20" t="s">
        <v>386</v>
      </c>
      <c r="B74" s="7" t="s">
        <v>51</v>
      </c>
      <c r="C74" s="24" t="s">
        <v>36</v>
      </c>
      <c r="D74" s="7" t="s">
        <v>387</v>
      </c>
      <c r="E74" s="6" t="s">
        <v>388</v>
      </c>
      <c r="F74" s="6" t="s">
        <v>389</v>
      </c>
      <c r="G74" s="6" t="s">
        <v>390</v>
      </c>
      <c r="H74" s="22"/>
      <c r="I74" s="23"/>
      <c r="J74" s="23"/>
    </row>
    <row r="75" customFormat="false" ht="60" hidden="false" customHeight="true" outlineLevel="0" collapsed="false">
      <c r="A75" s="20" t="s">
        <v>391</v>
      </c>
      <c r="B75" s="7" t="s">
        <v>51</v>
      </c>
      <c r="C75" s="25" t="s">
        <v>63</v>
      </c>
      <c r="D75" s="7" t="s">
        <v>392</v>
      </c>
      <c r="E75" s="6" t="s">
        <v>393</v>
      </c>
      <c r="F75" s="6" t="s">
        <v>394</v>
      </c>
      <c r="G75" s="6" t="s">
        <v>395</v>
      </c>
      <c r="H75" s="22"/>
      <c r="I75" s="23"/>
      <c r="J75" s="23"/>
    </row>
  </sheetData>
  <autoFilter ref="A1:J75"/>
  <conditionalFormatting sqref="H2:H75">
    <cfRule type="cellIs" priority="2" operator="equal" aboveAverage="0" equalAverage="0" bottom="0" percent="0" rank="0" text="" dxfId="8">
      <formula>"Fail"</formula>
    </cfRule>
    <cfRule type="cellIs" priority="3" operator="equal" aboveAverage="0" equalAverage="0" bottom="0" percent="0" rank="0" text="" dxfId="9">
      <formula>"Pass"</formula>
    </cfRule>
    <cfRule type="cellIs" priority="4" operator="equal" aboveAverage="0" equalAverage="0" bottom="0" percent="0" rank="0" text="" dxfId="10">
      <formula>"Blocked"</formula>
    </cfRule>
  </conditionalFormatting>
  <dataValidations count="1">
    <dataValidation allowBlank="true" error="Choose Pass, Fail, Blocked, Skipped or N/A" errorStyle="stop" errorTitle="Invalid value" operator="between" showDropDown="false" showErrorMessage="false" showInputMessage="false" sqref="H2:H75" type="list">
      <formula1>"Pass,Fail,Blocked,Skipped,N/A"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26" t="s">
        <v>396</v>
      </c>
      <c r="B1" s="26"/>
      <c r="C1" s="26"/>
      <c r="D1" s="26"/>
      <c r="E1" s="26"/>
      <c r="F1" s="26"/>
      <c r="G1" s="26"/>
      <c r="H1" s="26"/>
    </row>
    <row r="2" customFormat="false" ht="15" hidden="false" customHeight="false" outlineLevel="0" collapsed="false">
      <c r="A2" s="27" t="s">
        <v>397</v>
      </c>
      <c r="B2" s="27"/>
      <c r="C2" s="27"/>
      <c r="D2" s="27"/>
      <c r="E2" s="27"/>
      <c r="F2" s="27"/>
      <c r="G2" s="27"/>
      <c r="H2" s="27"/>
    </row>
    <row r="4" customFormat="false" ht="31.5" hidden="false" customHeight="true" outlineLevel="0" collapsed="false">
      <c r="A4" s="4" t="s">
        <v>77</v>
      </c>
      <c r="B4" s="4" t="s">
        <v>27</v>
      </c>
      <c r="C4" s="4" t="s">
        <v>398</v>
      </c>
      <c r="D4" s="4" t="s">
        <v>80</v>
      </c>
      <c r="E4" s="4" t="s">
        <v>399</v>
      </c>
      <c r="F4" s="4" t="s">
        <v>82</v>
      </c>
      <c r="G4" s="4" t="s">
        <v>400</v>
      </c>
      <c r="H4" s="4" t="s">
        <v>84</v>
      </c>
    </row>
    <row r="5" customFormat="false" ht="54.75" hidden="false" customHeight="true" outlineLevel="0" collapsed="false">
      <c r="A5" s="28" t="s">
        <v>401</v>
      </c>
      <c r="B5" s="21" t="s">
        <v>32</v>
      </c>
      <c r="C5" s="29" t="s">
        <v>402</v>
      </c>
      <c r="D5" s="6" t="s">
        <v>403</v>
      </c>
      <c r="E5" s="6" t="s">
        <v>404</v>
      </c>
      <c r="F5" s="30"/>
      <c r="G5" s="23"/>
      <c r="H5" s="23"/>
    </row>
    <row r="6" customFormat="false" ht="49.5" hidden="false" customHeight="true" outlineLevel="0" collapsed="false">
      <c r="A6" s="28" t="s">
        <v>405</v>
      </c>
      <c r="B6" s="21" t="s">
        <v>32</v>
      </c>
      <c r="C6" s="29" t="s">
        <v>406</v>
      </c>
      <c r="D6" s="6" t="s">
        <v>407</v>
      </c>
      <c r="E6" s="6" t="s">
        <v>408</v>
      </c>
      <c r="F6" s="30"/>
      <c r="G6" s="23"/>
      <c r="H6" s="23"/>
    </row>
    <row r="7" customFormat="false" ht="49.5" hidden="false" customHeight="true" outlineLevel="0" collapsed="false">
      <c r="A7" s="28" t="s">
        <v>409</v>
      </c>
      <c r="B7" s="21" t="s">
        <v>32</v>
      </c>
      <c r="C7" s="29" t="s">
        <v>410</v>
      </c>
      <c r="D7" s="6" t="s">
        <v>411</v>
      </c>
      <c r="E7" s="6" t="s">
        <v>412</v>
      </c>
      <c r="F7" s="30"/>
      <c r="G7" s="23"/>
      <c r="H7" s="23"/>
    </row>
    <row r="8" customFormat="false" ht="49.5" hidden="false" customHeight="true" outlineLevel="0" collapsed="false">
      <c r="A8" s="28" t="s">
        <v>413</v>
      </c>
      <c r="B8" s="21" t="s">
        <v>32</v>
      </c>
      <c r="C8" s="29" t="s">
        <v>414</v>
      </c>
      <c r="D8" s="6" t="s">
        <v>415</v>
      </c>
      <c r="E8" s="6" t="s">
        <v>416</v>
      </c>
      <c r="F8" s="30"/>
      <c r="G8" s="23"/>
      <c r="H8" s="23"/>
    </row>
    <row r="9" customFormat="false" ht="49.5" hidden="false" customHeight="true" outlineLevel="0" collapsed="false">
      <c r="A9" s="28" t="s">
        <v>417</v>
      </c>
      <c r="B9" s="21" t="s">
        <v>32</v>
      </c>
      <c r="C9" s="29" t="s">
        <v>147</v>
      </c>
      <c r="D9" s="6" t="s">
        <v>418</v>
      </c>
      <c r="E9" s="6" t="s">
        <v>419</v>
      </c>
      <c r="F9" s="30"/>
      <c r="G9" s="23"/>
      <c r="H9" s="23"/>
    </row>
    <row r="10" customFormat="false" ht="49.5" hidden="false" customHeight="true" outlineLevel="0" collapsed="false">
      <c r="A10" s="28" t="s">
        <v>420</v>
      </c>
      <c r="B10" s="21" t="s">
        <v>32</v>
      </c>
      <c r="C10" s="29" t="s">
        <v>421</v>
      </c>
      <c r="D10" s="6" t="s">
        <v>422</v>
      </c>
      <c r="E10" s="6" t="s">
        <v>423</v>
      </c>
      <c r="F10" s="30"/>
      <c r="G10" s="23"/>
      <c r="H10" s="23"/>
    </row>
    <row r="11" customFormat="false" ht="49.5" hidden="false" customHeight="true" outlineLevel="0" collapsed="false">
      <c r="A11" s="28" t="s">
        <v>424</v>
      </c>
      <c r="B11" s="21" t="s">
        <v>32</v>
      </c>
      <c r="C11" s="29" t="s">
        <v>425</v>
      </c>
      <c r="D11" s="6" t="s">
        <v>426</v>
      </c>
      <c r="E11" s="6" t="s">
        <v>427</v>
      </c>
      <c r="F11" s="30"/>
      <c r="G11" s="23"/>
      <c r="H11" s="23"/>
    </row>
    <row r="12" customFormat="false" ht="49.5" hidden="false" customHeight="true" outlineLevel="0" collapsed="false">
      <c r="A12" s="28" t="s">
        <v>428</v>
      </c>
      <c r="B12" s="21" t="s">
        <v>32</v>
      </c>
      <c r="C12" s="29" t="s">
        <v>429</v>
      </c>
      <c r="D12" s="6" t="s">
        <v>430</v>
      </c>
      <c r="E12" s="6" t="s">
        <v>431</v>
      </c>
      <c r="F12" s="30"/>
      <c r="G12" s="23"/>
      <c r="H12" s="23"/>
    </row>
    <row r="13" customFormat="false" ht="49.5" hidden="false" customHeight="true" outlineLevel="0" collapsed="false">
      <c r="A13" s="28" t="s">
        <v>432</v>
      </c>
      <c r="B13" s="21" t="s">
        <v>32</v>
      </c>
      <c r="C13" s="29" t="s">
        <v>433</v>
      </c>
      <c r="D13" s="6" t="s">
        <v>434</v>
      </c>
      <c r="E13" s="6" t="s">
        <v>435</v>
      </c>
      <c r="F13" s="30"/>
      <c r="G13" s="23"/>
      <c r="H13" s="23"/>
    </row>
    <row r="14" customFormat="false" ht="54.75" hidden="false" customHeight="true" outlineLevel="0" collapsed="false">
      <c r="A14" s="28" t="s">
        <v>436</v>
      </c>
      <c r="B14" s="21" t="s">
        <v>32</v>
      </c>
      <c r="C14" s="29" t="s">
        <v>437</v>
      </c>
      <c r="D14" s="6" t="s">
        <v>438</v>
      </c>
      <c r="E14" s="6" t="s">
        <v>439</v>
      </c>
      <c r="F14" s="30"/>
      <c r="G14" s="23"/>
      <c r="H14" s="23"/>
    </row>
  </sheetData>
  <mergeCells count="2">
    <mergeCell ref="A1:H1"/>
    <mergeCell ref="A2:H2"/>
  </mergeCells>
  <conditionalFormatting sqref="F5:F14">
    <cfRule type="cellIs" priority="2" operator="equal" aboveAverage="0" equalAverage="0" bottom="0" percent="0" rank="0" text="" dxfId="8">
      <formula>"Fail"</formula>
    </cfRule>
    <cfRule type="cellIs" priority="3" operator="equal" aboveAverage="0" equalAverage="0" bottom="0" percent="0" rank="0" text="" dxfId="9">
      <formula>"Pass"</formula>
    </cfRule>
  </conditionalFormatting>
  <dataValidations count="1">
    <dataValidation allowBlank="true" errorStyle="stop" operator="between" showDropDown="false" showErrorMessage="false" showInputMessage="false" sqref="F5:F14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26" t="s">
        <v>440</v>
      </c>
      <c r="B1" s="26"/>
      <c r="C1" s="26"/>
      <c r="D1" s="26"/>
      <c r="E1" s="26"/>
    </row>
    <row r="3" customFormat="false" ht="16.15" hidden="false" customHeight="false" outlineLevel="0" collapsed="false">
      <c r="A3" s="3" t="s">
        <v>441</v>
      </c>
    </row>
    <row r="4" customFormat="false" ht="31.5" hidden="false" customHeight="true" outlineLevel="0" collapsed="false">
      <c r="A4" s="4" t="s">
        <v>442</v>
      </c>
      <c r="B4" s="4" t="s">
        <v>3</v>
      </c>
      <c r="C4" s="4" t="s">
        <v>443</v>
      </c>
      <c r="D4" s="4" t="s">
        <v>444</v>
      </c>
      <c r="E4" s="4" t="s">
        <v>84</v>
      </c>
    </row>
    <row r="5" customFormat="false" ht="39.75" hidden="false" customHeight="true" outlineLevel="0" collapsed="false">
      <c r="A5" s="28" t="s">
        <v>445</v>
      </c>
      <c r="B5" s="6" t="s">
        <v>446</v>
      </c>
      <c r="C5" s="6" t="s">
        <v>447</v>
      </c>
      <c r="D5" s="30"/>
      <c r="E5" s="23"/>
    </row>
    <row r="6" customFormat="false" ht="39.75" hidden="false" customHeight="true" outlineLevel="0" collapsed="false">
      <c r="A6" s="28" t="s">
        <v>448</v>
      </c>
      <c r="B6" s="6" t="s">
        <v>449</v>
      </c>
      <c r="C6" s="6" t="s">
        <v>450</v>
      </c>
      <c r="D6" s="30"/>
      <c r="E6" s="23"/>
    </row>
    <row r="7" customFormat="false" ht="39.75" hidden="false" customHeight="true" outlineLevel="0" collapsed="false">
      <c r="A7" s="28" t="s">
        <v>451</v>
      </c>
      <c r="B7" s="6" t="s">
        <v>452</v>
      </c>
      <c r="C7" s="6" t="s">
        <v>453</v>
      </c>
      <c r="D7" s="30"/>
      <c r="E7" s="23"/>
    </row>
    <row r="8" customFormat="false" ht="39.75" hidden="false" customHeight="true" outlineLevel="0" collapsed="false">
      <c r="A8" s="28" t="s">
        <v>454</v>
      </c>
      <c r="B8" s="6" t="s">
        <v>455</v>
      </c>
      <c r="C8" s="6" t="s">
        <v>456</v>
      </c>
      <c r="D8" s="30"/>
      <c r="E8" s="23"/>
    </row>
    <row r="9" customFormat="false" ht="39.75" hidden="false" customHeight="true" outlineLevel="0" collapsed="false">
      <c r="A9" s="28" t="s">
        <v>457</v>
      </c>
      <c r="B9" s="6" t="s">
        <v>458</v>
      </c>
      <c r="C9" s="6" t="s">
        <v>459</v>
      </c>
      <c r="D9" s="30"/>
      <c r="E9" s="23"/>
    </row>
    <row r="10" customFormat="false" ht="39.75" hidden="false" customHeight="true" outlineLevel="0" collapsed="false">
      <c r="A10" s="28" t="s">
        <v>460</v>
      </c>
      <c r="B10" s="6" t="s">
        <v>461</v>
      </c>
      <c r="C10" s="6" t="s">
        <v>462</v>
      </c>
      <c r="D10" s="30"/>
      <c r="E10" s="23"/>
    </row>
    <row r="13" customFormat="false" ht="16.15" hidden="false" customHeight="false" outlineLevel="0" collapsed="false">
      <c r="A13" s="31" t="s">
        <v>463</v>
      </c>
      <c r="B13" s="31"/>
      <c r="C13" s="31"/>
      <c r="D13" s="31"/>
      <c r="E13" s="31"/>
    </row>
    <row r="14" customFormat="false" ht="31.5" hidden="false" customHeight="true" outlineLevel="0" collapsed="false">
      <c r="A14" s="4" t="s">
        <v>55</v>
      </c>
      <c r="B14" s="4" t="s">
        <v>464</v>
      </c>
      <c r="C14" s="4" t="s">
        <v>465</v>
      </c>
      <c r="D14" s="4" t="s">
        <v>466</v>
      </c>
      <c r="E14" s="4" t="s">
        <v>467</v>
      </c>
    </row>
    <row r="15" customFormat="false" ht="91" hidden="false" customHeight="false" outlineLevel="0" collapsed="false">
      <c r="A15" s="6" t="s">
        <v>468</v>
      </c>
      <c r="B15" s="32" t="s">
        <v>469</v>
      </c>
      <c r="C15" s="33" t="s">
        <v>470</v>
      </c>
      <c r="D15" s="34"/>
      <c r="E15" s="34"/>
    </row>
    <row r="16" customFormat="false" ht="46.25" hidden="false" customHeight="false" outlineLevel="0" collapsed="false">
      <c r="A16" s="6" t="s">
        <v>471</v>
      </c>
      <c r="B16" s="32" t="s">
        <v>472</v>
      </c>
      <c r="C16" s="33" t="s">
        <v>473</v>
      </c>
      <c r="D16" s="34"/>
      <c r="E16" s="34"/>
    </row>
    <row r="17" customFormat="false" ht="68.65" hidden="false" customHeight="false" outlineLevel="0" collapsed="false">
      <c r="A17" s="6" t="s">
        <v>474</v>
      </c>
      <c r="B17" s="32" t="s">
        <v>475</v>
      </c>
      <c r="C17" s="33" t="s">
        <v>476</v>
      </c>
      <c r="D17" s="34"/>
      <c r="E17" s="34"/>
    </row>
    <row r="18" customFormat="false" ht="102.2" hidden="false" customHeight="false" outlineLevel="0" collapsed="false">
      <c r="A18" s="6" t="s">
        <v>477</v>
      </c>
      <c r="B18" s="32" t="s">
        <v>478</v>
      </c>
      <c r="C18" s="33" t="s">
        <v>479</v>
      </c>
      <c r="D18" s="34"/>
      <c r="E18" s="34"/>
    </row>
    <row r="19" customFormat="false" ht="124.6" hidden="false" customHeight="false" outlineLevel="0" collapsed="false">
      <c r="A19" s="6" t="s">
        <v>480</v>
      </c>
      <c r="B19" s="32" t="s">
        <v>481</v>
      </c>
      <c r="C19" s="33" t="s">
        <v>482</v>
      </c>
      <c r="D19" s="34"/>
      <c r="E19" s="34"/>
    </row>
    <row r="22" customFormat="false" ht="16.15" hidden="false" customHeight="false" outlineLevel="0" collapsed="false">
      <c r="A22" s="31" t="s">
        <v>483</v>
      </c>
      <c r="B22" s="31"/>
      <c r="C22" s="31"/>
      <c r="D22" s="31"/>
      <c r="E22" s="31"/>
    </row>
    <row r="23" customFormat="false" ht="31.5" hidden="false" customHeight="true" outlineLevel="0" collapsed="false">
      <c r="A23" s="4" t="s">
        <v>442</v>
      </c>
      <c r="B23" s="4" t="s">
        <v>3</v>
      </c>
      <c r="C23" s="4" t="s">
        <v>484</v>
      </c>
      <c r="D23" s="4" t="s">
        <v>444</v>
      </c>
      <c r="E23" s="4" t="s">
        <v>84</v>
      </c>
    </row>
    <row r="24" customFormat="false" ht="30" hidden="false" customHeight="true" outlineLevel="0" collapsed="false">
      <c r="A24" s="28" t="s">
        <v>445</v>
      </c>
      <c r="B24" s="6" t="s">
        <v>485</v>
      </c>
      <c r="C24" s="29" t="s">
        <v>486</v>
      </c>
      <c r="D24" s="30"/>
      <c r="E24" s="23"/>
    </row>
    <row r="25" customFormat="false" ht="30" hidden="false" customHeight="true" outlineLevel="0" collapsed="false">
      <c r="A25" s="28" t="s">
        <v>448</v>
      </c>
      <c r="B25" s="6" t="s">
        <v>487</v>
      </c>
      <c r="C25" s="29" t="s">
        <v>488</v>
      </c>
      <c r="D25" s="30"/>
      <c r="E25" s="23"/>
    </row>
    <row r="26" customFormat="false" ht="30" hidden="false" customHeight="true" outlineLevel="0" collapsed="false">
      <c r="A26" s="28" t="s">
        <v>451</v>
      </c>
      <c r="B26" s="6" t="s">
        <v>489</v>
      </c>
      <c r="C26" s="29" t="s">
        <v>490</v>
      </c>
      <c r="D26" s="30"/>
      <c r="E26" s="23"/>
    </row>
    <row r="27" customFormat="false" ht="30" hidden="false" customHeight="true" outlineLevel="0" collapsed="false">
      <c r="A27" s="28" t="s">
        <v>454</v>
      </c>
      <c r="B27" s="6" t="s">
        <v>491</v>
      </c>
      <c r="C27" s="29" t="s">
        <v>492</v>
      </c>
      <c r="D27" s="30"/>
      <c r="E27" s="23"/>
    </row>
    <row r="28" customFormat="false" ht="30" hidden="false" customHeight="true" outlineLevel="0" collapsed="false">
      <c r="A28" s="28" t="s">
        <v>457</v>
      </c>
      <c r="B28" s="6" t="s">
        <v>493</v>
      </c>
      <c r="C28" s="29" t="s">
        <v>492</v>
      </c>
      <c r="D28" s="30"/>
      <c r="E28" s="23"/>
    </row>
    <row r="29" customFormat="false" ht="30" hidden="false" customHeight="true" outlineLevel="0" collapsed="false">
      <c r="A29" s="28" t="s">
        <v>460</v>
      </c>
      <c r="B29" s="6" t="s">
        <v>494</v>
      </c>
      <c r="C29" s="29" t="s">
        <v>495</v>
      </c>
      <c r="D29" s="30"/>
      <c r="E29" s="23"/>
    </row>
    <row r="30" customFormat="false" ht="30" hidden="false" customHeight="true" outlineLevel="0" collapsed="false">
      <c r="A30" s="28" t="s">
        <v>496</v>
      </c>
      <c r="B30" s="6" t="s">
        <v>497</v>
      </c>
      <c r="C30" s="29" t="s">
        <v>495</v>
      </c>
      <c r="D30" s="30"/>
      <c r="E30" s="23"/>
    </row>
    <row r="31" customFormat="false" ht="30" hidden="false" customHeight="true" outlineLevel="0" collapsed="false">
      <c r="A31" s="28" t="s">
        <v>498</v>
      </c>
      <c r="B31" s="6" t="s">
        <v>499</v>
      </c>
      <c r="C31" s="29" t="s">
        <v>495</v>
      </c>
      <c r="D31" s="30"/>
      <c r="E31" s="23"/>
    </row>
    <row r="32" customFormat="false" ht="30" hidden="false" customHeight="true" outlineLevel="0" collapsed="false">
      <c r="A32" s="28" t="s">
        <v>500</v>
      </c>
      <c r="B32" s="6" t="s">
        <v>501</v>
      </c>
      <c r="C32" s="29" t="s">
        <v>492</v>
      </c>
      <c r="D32" s="30"/>
      <c r="E32" s="23"/>
    </row>
    <row r="33" customFormat="false" ht="30" hidden="false" customHeight="true" outlineLevel="0" collapsed="false">
      <c r="A33" s="28" t="s">
        <v>502</v>
      </c>
      <c r="B33" s="6" t="s">
        <v>503</v>
      </c>
      <c r="C33" s="29" t="s">
        <v>488</v>
      </c>
      <c r="D33" s="30"/>
      <c r="E33" s="23"/>
    </row>
  </sheetData>
  <mergeCells count="3">
    <mergeCell ref="A1:E1"/>
    <mergeCell ref="A13:E13"/>
    <mergeCell ref="A22:E22"/>
  </mergeCells>
  <conditionalFormatting sqref="D5:D10">
    <cfRule type="cellIs" priority="2" operator="equal" aboveAverage="0" equalAverage="0" bottom="0" percent="0" rank="0" text="" dxfId="9">
      <formula>"Yes"</formula>
    </cfRule>
    <cfRule type="cellIs" priority="3" operator="equal" aboveAverage="0" equalAverage="0" bottom="0" percent="0" rank="0" text="" dxfId="8">
      <formula>"No"</formula>
    </cfRule>
  </conditionalFormatting>
  <conditionalFormatting sqref="E15:E19">
    <cfRule type="cellIs" priority="4" operator="equal" aboveAverage="0" equalAverage="0" bottom="0" percent="0" rank="0" text="" dxfId="9">
      <formula>"Yes"</formula>
    </cfRule>
    <cfRule type="cellIs" priority="5" operator="equal" aboveAverage="0" equalAverage="0" bottom="0" percent="0" rank="0" text="" dxfId="8">
      <formula>"No"</formula>
    </cfRule>
  </conditionalFormatting>
  <conditionalFormatting sqref="D24:D33">
    <cfRule type="cellIs" priority="6" operator="equal" aboveAverage="0" equalAverage="0" bottom="0" percent="0" rank="0" text="" dxfId="9">
      <formula>"Yes"</formula>
    </cfRule>
    <cfRule type="cellIs" priority="7" operator="equal" aboveAverage="0" equalAverage="0" bottom="0" percent="0" rank="0" text="" dxfId="8">
      <formula>"No"</formula>
    </cfRule>
  </conditionalFormatting>
  <dataValidations count="1">
    <dataValidation allowBlank="true" errorStyle="stop" operator="between" showDropDown="false" showErrorMessage="false" showInputMessage="false" sqref="D5:D10 E15:E19 D24:D33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2026-08-24T16:11:12Z</dcterms:created>
  <dc:creator>openpyxl</dc:creator>
  <dc:description/>
  <dc:language>en-US</dc:language>
  <cp:lastModifiedBy/>
  <dcterms:modified xsi:type="dcterms:W3CDTF">2026-08-24T16:11:12Z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